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comments3.xml" ContentType="application/vnd.openxmlformats-officedocument.spreadsheetml.comments+xml"/>
  <Override PartName="/xl/comments4.xml" ContentType="application/vnd.openxmlformats-officedocument.spreadsheetml.comment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4" autoFilterDateGrouping="true" firstSheet="0" minimized="false" showHorizontalScroll="true" showSheetTabs="true" showVerticalScroll="true" tabRatio="600" visibility="visible"/>
  </bookViews>
  <sheets>
    <sheet name="Leyenda" sheetId="1" r:id="rId4"/>
    <sheet name="Comparacion" sheetId="2" r:id="rId5"/>
    <sheet name="Actividades" sheetId="3" r:id="rId6"/>
    <sheet name="Unidades" sheetId="4" r:id="rId7"/>
    <sheet name="Curso" sheetId="5" r:id="rId8"/>
  </sheets>
  <definedNames>
    <definedName name="_xlnm._FilterDatabase" localSheetId="1" hidden="1">'Comparacion'!$A$1:$G$26</definedName>
    <definedName name="_xlnm._FilterDatabase" localSheetId="2" hidden="1">'Actividades'!$A$1:$W$7</definedName>
  </definedNames>
  <calcPr calcId="999999" calcMode="auto" calcCompleted="0" fullCalcOnLoad="1" forceFullCalc="1"/>
</workbook>
</file>

<file path=xl/comments3.xml><?xml version="1.0" encoding="utf-8"?>
<comments xmlns="http://schemas.openxmlformats.org/spreadsheetml/2006/main">
  <authors>
    <author>Author</author>
  </authors>
  <commentList>
    <comment ref="E1" authorId="0">
      <text>
        <r>
          <t xml:space="preserve">Texto ISO YYYY-MM-DD. Año 2026 (confirmado por el usuario; el EVEA imprimía 2025). Todas caen dentro del período del curso en producción (07-08-2026 → 07-02-2027).</t>
        </r>
      </text>
    </comment>
    <comment ref="F1" authorId="0">
      <text>
        <r>
          <t xml:space="preserve">Mapeo: «Con envío de archivo» (EVEA) → online (En línea). Valores válidos en la app: online | presencial | hibrido.</t>
        </r>
      </text>
    </comment>
    <comment ref="G1" authorId="0">
      <text>
        <r>
          <t xml:space="preserve">El EVEA sólo trae escrito el 30 de la Actividad 02 (pantalla «Actividades sumativas / formativas», 22-09-2026) y deja vacías la 04 y la 06. Las formativas van en 0 porque esa misma pantalla define NOTA FINAL = promedio sumativas × 100 % + promedio formativas × 0 %. PROPUESTA que sigue en pie: 40 y 30 para la 04 y la 06, proporcional a sus horas EVEA (30/25). Con eso el Taller suma 0+30+0+40+0+30 = 100, como pide la UI. El conflicto que había con «Tarea 1» quedó resuelto: es la Actividad 02, sumativa 30, igual que el PDF.</t>
        </r>
      </text>
    </comment>
    <comment ref="K1" authorId="0">
      <text>
        <r>
          <t xml:space="preserve">La columna «Forma» de la pantalla de evaluación del EVEA dice Individual en las seis actividades, así que esto ya no es una propuesta. es_grupal = FALSE → max_integrantes 1 y un grupo de un integrante por inscrito (GrupoIndividualService).</t>
        </r>
      </text>
    </comment>
    <comment ref="L1" authorId="0">
      <text>
        <r>
          <t xml:space="preserve">Individual en las seis (pantalla de evaluación del EVEA). La UI exige 2-10 sólo cuando la actividad es grupal.</t>
        </r>
      </text>
    </comment>
    <comment ref="N1" authorId="0">
      <text>
        <r>
          <t xml:space="preserve">DECIDIDO (2026-09-21): Taller. El componente Laboratorio (A: #3, B: #8) es un BUG y el equipo lo va a borrar. Antes de borrarlo hay que resolver lo que cuelga de Laboratorio#3: la actividad «Tarea 1» (id 7 = Actividad 02, 19 grupos, 1 rúbrica), 19 inscripcion_componente en #3 y 19 en #8, docente_componente, los contextos 19 y 36 y los roles asignados en ellos. En A las 6 cuelgan de Taller#11; en B de Taller#12 (asignarle docente_componente).</t>
        </r>
      </text>
    </comment>
    <comment ref="O1" authorId="0">
      <text>
        <r>
          <t xml:space="preserve">No es columna de agenda.actividad. El seeder debe resolver id_unidad por (id_curso, num_unidad) o por nombre; ver hoja Unidades.</t>
        </r>
      </text>
    </comment>
    <comment ref="U1" authorId="0">
      <text>
        <r>
          <t xml:space="preserve">Año corregido a 2026 (el EVEA imprimía 2025).</t>
        </r>
      </text>
    </comment>
    <comment ref="V1" authorId="0">
      <text>
        <r>
          <t xml:space="preserve">Año corregido a 2026 (el EVEA imprimía 2025).</t>
        </r>
      </text>
    </comment>
    <comment ref="X1" authorId="0">
      <text>
        <r>
          <t xml:space="preserve">El EVEA imprime el año mal: el usuario confirma (2026-09-21) que estas actividades son del semestre 2026-2. fecha_limite ya está en 2026; fecha_limite_evea_impresa conserva lo que decía el PDF (2025) sólo como referencia.</t>
        </r>
      </text>
    </comment>
    <comment ref="Y1" authorId="0">
      <text>
        <r>
          <t xml:space="preserve">id_unidad real en producción para DM095 A (num_unidad 1→4, 2→5, 3→6). Para B se resuelve tras crear sus unidades.</t>
        </r>
      </text>
    </comment>
    <comment ref="Z1" authorId="0">
      <text>
        <r>
          <t xml:space="preserve">id_actividad ya existente en producción para DM095 A. Sólo la 02: el equipo confirma (22-09-2026) que «Tarea 1» (id 7) ES la Actividad 02, no la 01 como se había anotado el 21-09. Las otras cinco se crean. B no tiene ninguna.</t>
        </r>
      </text>
    </comment>
    <comment ref="AA1" authorId="0">
      <text>
        <r>
          <t xml:space="preserve">Diferencias entre lo que hay en producción y lo que dice el PDF para la misma actividad. Decidir cuál manda antes de sembrar.</t>
        </r>
      </text>
    </comment>
    <comment ref="AB1" authorId="0">
      <text>
        <r>
          <t xml:space="preserve">Nombre con el que la actividad YA existe en producción (dentro del mismo curso). El seeder la busca primero por «nombre» y luego por este alias; si la encuentra, la ACTUALIZA con los valores de esta fila (incluido el componente) en vez de crear otra. Vacío = crear.</t>
        </r>
      </text>
    </comment>
    <comment ref="AC1" authorId="0">
      <text>
        <r>
          <t xml:space="preserve">Columna «Tipo» de la pantalla «Actividades sumativas / formativas» del EVEA: Tarea para las sumativas, Ficha para las formativas. No tiene equivalente en la app (lo cubre tipo_actividad) y el seeder la ignora; explica de dónde salió el nombre «Tarea 1» con que el docente creó la actividad en producción.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Numeración propuesta 1..3 en el orden cronológico del PDF (el EVEA no numera las unidades).</t>
        </r>
      </text>
    </comment>
    <comment ref="C1" authorId="0">
      <text>
        <r>
          <t xml:space="preserve">curso.unidad.descripcion es text nullable. El PDF no trae descripción; queda vacía para que el equipo la complete si quiere.</t>
        </r>
      </text>
    </comment>
    <comment ref="D1" authorId="0">
      <text>
        <r>
          <t xml:space="preserve">curso.unidad NO tiene fechas. Se conservan sólo como referencia del legado.</t>
        </r>
      </text>
    </comment>
  </commentList>
</comments>
</file>

<file path=xl/sharedStrings.xml><?xml version="1.0" encoding="utf-8"?>
<sst xmlns="http://schemas.openxmlformats.org/spreadsheetml/2006/main" uniqueCount="294">
  <si>
    <r>
      <t xml:space="preserve">Actividades EVEA (legado) → UTAMED: Taller Profesional IV (A) (DM095)</t>
    </r>
  </si>
  <si>
    <r>
      <t xml:space="preserve">Fuente</t>
    </r>
  </si>
  <si>
    <r>
      <t xml:space="preserve">C:\Users\yampa\Downloads\actividades.pdf — impresión de «Gestión Módulo» del EVEA antiguo (146.83.111.141/cgi-bin/db2www/verifica.d2w), 21-09-2026 16:46.</t>
    </r>
  </si>
  <si>
    <r>
      <t xml:space="preserve">Propósito</t>
    </r>
  </si>
  <si>
    <r>
      <t xml:space="preserve">Comparar las actividades del EVEA con el modelo de actividad de la aplicación (agenda.actividad) y dejar los datos listos para un seeder. El seeder NO forma parte de este archivo.</t>
    </r>
  </si>
  <si>
    <r>
      <t xml:space="preserve">Modelo destino</t>
    </r>
  </si>
  <si>
    <r>
      <t xml:space="preserve">agenda.actividad (App\Models\Agenda\Actividad). Fillable: nombre, fecha_limite, nro_dias_adicionales_para_bloqueo, visible, ponderacion, exigencia, tipo_actividad, tipo_entrega, es_grupal, max_integrantes, es_plantilla, id_componente, id_unidad, uuid_archivo_enunciado. id_contexto lo llena el trigger tr_actividad_pre_insert.</t>
    </r>
  </si>
  <si>
    <r>
      <t xml:space="preserve">Validación de la app</t>
    </r>
  </si>
  <si>
    <r>
      <t xml:space="preserve">DocenteActivityController::store(): nombre required|max:255; fecha_limite required|date; tipo_actividad in:SUMATIVA,FORMATIVA; tipo_entrega in:online,presencial,hibrido; ponderacion/exigencia integer 0-100; nro_dias_adicionales_para_bloqueo integer &gt;= 0; max_integrantes 1-100; id_componente e id_unidad required.</t>
    </r>
  </si>
  <si>
    <r>
      <t xml:space="preserve">Hojas</t>
    </r>
  </si>
  <si>
    <r>
      <t xml:space="preserve">Comparacion: campo a campo PDF vs app. · Actividades: las 6 actividades en la forma de agenda.actividad (una fila = un Actividad::create). · Unidades: las unidades del PDF en la forma de curso.unidad. · Curso: datos de cabecera del PDF y verificaciones.</t>
    </r>
  </si>
  <si>
    <r>
      <t xml:space="preserve">Colores</t>
    </r>
  </si>
  <si>
    <r>
      <t xml:space="preserve">Texto azul</t>
    </r>
  </si>
  <si>
    <r>
      <t xml:space="preserve">Dato tomado literalmente del PDF.</t>
    </r>
  </si>
  <si>
    <r>
      <t xml:space="preserve">Texto negro</t>
    </r>
  </si>
  <si>
    <r>
      <t xml:space="preserve">Dato derivado o mapeado desde el PDF (p. ej. «Con envío de archivo» → tipo_entrega = online; «Formativa» → FORMATIVA).</t>
    </r>
  </si>
  <si>
    <r>
      <t xml:space="preserve">Fondo amarillo</t>
    </r>
  </si>
  <si>
    <r>
      <t xml:space="preserve">Valor PROPUESTO: la app lo exige y el PDF no lo trae. El equipo debe confirmarlo antes de sembrar.</t>
    </r>
  </si>
  <si>
    <r>
      <t xml:space="preserve">Fondo gris</t>
    </r>
  </si>
  <si>
    <r>
      <t xml:space="preserve">Columna del legado SIN equivalente en la app. Se conserva sólo como referencia; el seeder debe ignorarla.</t>
    </r>
  </si>
  <si>
    <r>
      <t xml:space="preserve">Convenciones de datos</t>
    </r>
  </si>
  <si>
    <r>
      <t xml:space="preserve">Fechas como texto ISO YYYY-MM-DD (fecha_limite es DATE en la BD y el modelo serializa Y-m-d). Booleanos como TRUE/FALSE. tipo_actividad en MAYÚSCULAS como el ENUM agenda.en_tipo_actividad.</t>
    </r>
  </si>
  <si>
    <r>
      <t xml:space="preserve">Fórmulas</t>
    </r>
  </si>
  <si>
    <r>
      <t xml:space="preserve">Sólo la hoja Curso tiene fórmulas de verificación; se calculan al abrir el archivo en Excel. La hoja Actividades es 100 % valores para que cualquier lector (PhpSpreadsheet, pandas) la consuma sin recálculo.</t>
    </r>
  </si>
  <si>
    <r>
      <t xml:space="preserve">#</t>
    </r>
  </si>
  <si>
    <r>
      <t xml:space="preserve">Campo en el PDF (EVEA)</t>
    </r>
  </si>
  <si>
    <r>
      <t xml:space="preserve">Ejemplo en el PDF</t>
    </r>
  </si>
  <si>
    <r>
      <t xml:space="preserve">Campo en la app</t>
    </r>
  </si>
  <si>
    <r>
      <t xml:space="preserve">Tabla.columna / tipo / regla</t>
    </r>
  </si>
  <si>
    <r>
      <t xml:space="preserve">Estado</t>
    </r>
  </si>
  <si>
    <r>
      <t xml:space="preserve">Observación</t>
    </r>
  </si>
  <si>
    <r>
      <t xml:space="preserve">Cod</t>
    </r>
  </si>
  <si>
    <r>
      <t xml:space="preserve">117976</t>
    </r>
  </si>
  <si>
    <r>
      <t xml:space="preserve">id_actividad</t>
    </r>
  </si>
  <si>
    <r>
      <t xml:space="preserve">agenda.actividad.id_actividad integer GENERATED ALWAYS AS IDENTITY</t>
    </r>
  </si>
  <si>
    <r>
      <t xml:space="preserve">No se mapea</t>
    </r>
  </si>
  <si>
    <r>
      <t xml:space="preserve">El id lo genera Postgres; no hay columna para un código externo/legado. Se conserva como cod_evea sólo de referencia.</t>
    </r>
  </si>
  <si>
    <r>
      <t xml:space="preserve">Hrs</t>
    </r>
  </si>
  <si>
    <r>
      <t xml:space="preserve">20</t>
    </r>
  </si>
  <si>
    <r>
      <t xml:space="preserve">—</t>
    </r>
  </si>
  <si>
    <r>
      <t xml:space="preserve">No existe en app</t>
    </r>
  </si>
  <si>
    <r>
      <t xml:space="preserve">La app no registra horas por actividad. Las horas viven a nivel asignatura (administrativo.asignatura.horas_taller / horas_autonomas, semanales).</t>
    </r>
  </si>
  <si>
    <r>
      <t xml:space="preserve">TA (Trabajo Autónomo)</t>
    </r>
  </si>
  <si>
    <r>
      <t xml:space="preserve">Sí / No</t>
    </r>
  </si>
  <si>
    <r>
      <t xml:space="preserve">En EVEA sólo las actividades con TA=Sí suman a las horas autónomas del módulo: 20+25 = 45 h «declaradas» de 104 (quedan 59). No hay flag equivalente.</t>
    </r>
  </si>
  <si>
    <r>
      <t xml:space="preserve">Docto</t>
    </r>
  </si>
  <si>
    <r>
      <t xml:space="preserve">(vacío)</t>
    </r>
  </si>
  <si>
    <r>
      <t xml:space="preserve">uuid_archivo_enunciado</t>
    </r>
  </si>
  <si>
    <r>
      <t xml:space="preserve">agenda.actividad.uuid_archivo_enunciado uuid → operaciones.archivo. Se sube DESPUÉS de crear la actividad (subirEnunciado); sólo PDF o imagen (config/filetypes).</t>
    </r>
  </si>
  <si>
    <r>
      <t xml:space="preserve">Equivalente parcial</t>
    </r>
  </si>
  <si>
    <r>
      <t xml:space="preserve">Ninguna actividad del PDF tiene documento adjunto. El seeder puede dejar NULL.</t>
    </r>
  </si>
  <si>
    <r>
      <t xml:space="preserve">Audio</t>
    </r>
  </si>
  <si>
    <r>
      <t xml:space="preserve">El enunciado de la app admite sólo PDF/imagen; no hay adjunto de audio. Vacío también en el PDF.</t>
    </r>
  </si>
  <si>
    <r>
      <t xml:space="preserve">Tipo (columna)</t>
    </r>
  </si>
  <si>
    <t>Tarea (sumativas) / Ficha (formativas)</t>
  </si>
  <si>
    <t>No existe en app</t>
  </si>
  <si>
    <t>El listado de «Gestión Módulo» la trae vacía, pero la pantalla «Actividades sumativas / formativas» (captura del 22-09-2026) sí la llena: Tarea para las tres sumativas, Ficha para las tres formativas. La app no tiene esa distinción (la cubre tipo_actividad). Explica el nombre «Tarea 1» con que el docente creó la actividad en producción.</t>
  </si>
  <si>
    <r>
      <t xml:space="preserve">Título → nombre</t>
    </r>
  </si>
  <si>
    <r>
      <t xml:space="preserve">Actividad 01: Prototipo Inicial</t>
    </r>
  </si>
  <si>
    <r>
      <t xml:space="preserve">nombre</t>
    </r>
  </si>
  <si>
    <r>
      <t xml:space="preserve">text; validación required|string|max:255</t>
    </r>
  </si>
  <si>
    <r>
      <t xml:space="preserve">Coincide</t>
    </r>
  </si>
  <si>
    <r>
      <t xml:space="preserve">Se limpia el nombre separando los metadatos entre paréntesis «(Formativa, Obligatoria, Con envío de archivo)» a columnas propias.</t>
    </r>
  </si>
  <si>
    <r>
      <t xml:space="preserve">Título → Formativa / Sumativa</t>
    </r>
  </si>
  <si>
    <r>
      <t xml:space="preserve">Formativa</t>
    </r>
  </si>
  <si>
    <r>
      <t xml:space="preserve">tipo_actividad</t>
    </r>
  </si>
  <si>
    <r>
      <t xml:space="preserve">ENUM agenda.en_tipo_actividad {SUMATIVA, FORMATIVA} NOT NULL</t>
    </r>
  </si>
  <si>
    <r>
      <t xml:space="preserve">Mapeo directo a mayúsculas. 3 formativas (01, 03, 05) y 3 sumativas (02, 04, 06).</t>
    </r>
  </si>
  <si>
    <r>
      <t xml:space="preserve">Título → Obligatoria</t>
    </r>
  </si>
  <si>
    <r>
      <t xml:space="preserve">Obligatoria</t>
    </r>
  </si>
  <si>
    <r>
      <t xml:space="preserve">No hay flag obligatoria/optativa en agenda.actividad. Las 6 actividades del PDF son obligatorias.</t>
    </r>
  </si>
  <si>
    <r>
      <t xml:space="preserve">Título → Con envío de archivo</t>
    </r>
  </si>
  <si>
    <r>
      <t xml:space="preserve">Con envío de archivo</t>
    </r>
  </si>
  <si>
    <r>
      <t xml:space="preserve">tipo_entrega</t>
    </r>
  </si>
  <si>
    <r>
      <t xml:space="preserve">varchar NOT NULL; validación in:online,presencial,hibrido (UI: En línea / Presencial / Híbrido)</t>
    </r>
  </si>
  <si>
    <r>
      <t xml:space="preserve">Se mapea</t>
    </r>
  </si>
  <si>
    <r>
      <t xml:space="preserve">«Con envío de archivo» ≈ online (En línea). Las otras dos opciones de la app no aparecen en el PDF.</t>
    </r>
  </si>
  <si>
    <r>
      <t xml:space="preserve">Fecha Venc.</t>
    </r>
  </si>
  <si>
    <r>
      <t xml:space="preserve">06-10-2025</t>
    </r>
  </si>
  <si>
    <r>
      <t xml:space="preserve">fecha_limite</t>
    </r>
  </si>
  <si>
    <r>
      <t xml:space="preserve">date; cast 'date'; serializa Y-m-d</t>
    </r>
  </si>
  <si>
    <r>
      <t xml:space="preserve">Convertir DD-MM-YYYY → YYYY-MM-DD. Todas caen dentro del rango desde/hasta de su unidad.</t>
    </r>
  </si>
  <si>
    <r>
      <t xml:space="preserve">Editar</t>
    </r>
  </si>
  <si>
    <r>
      <t xml:space="preserve">(acción)</t>
    </r>
  </si>
  <si>
    <r>
      <t xml:space="preserve">Acción de UI</t>
    </r>
  </si>
  <si>
    <r>
      <t xml:space="preserve">Sin dato.</t>
    </r>
  </si>
  <si>
    <r>
      <t xml:space="preserve">Rúbrica</t>
    </r>
  </si>
  <si>
    <t>(vacío en el listado)</t>
  </si>
  <si>
    <r>
      <t xml:space="preserve">rubricas()</t>
    </r>
  </si>
  <si>
    <r>
      <t xml:space="preserve">agenda.rubrica (0..n por actividad); se crea aparte con storeRubrica()</t>
    </r>
  </si>
  <si>
    <t>Equivalente</t>
  </si>
  <si>
    <t>El listado del EVEA no muestra rúbricas, pero el 22-09-2026 el equipo entregó aparte la matriz de evaluación de la Actividad 02: está en matriz_evaluacion_act_1.xlsx y el seeder la escribe en agenda.rubrica. Las formativas no llevan rúbrica; las sumativas 04 y 06 quedan pendientes de que el equipo entregue su matriz.</t>
  </si>
  <si>
    <r>
      <t xml:space="preserve">Unidad (agrupador)</t>
    </r>
  </si>
  <si>
    <r>
      <t xml:space="preserve">Fundamentos y Entorno de Trabajo</t>
    </r>
  </si>
  <si>
    <r>
      <t xml:space="preserve">id_unidad → curso.unidad.nombre</t>
    </r>
  </si>
  <si>
    <r>
      <t xml:space="preserve">curso.unidad (num_unidad smallint, nombre varchar, descripcion text, id_curso). FK NOT NULL en actividad.</t>
    </r>
  </si>
  <si>
    <r>
      <t xml:space="preserve">La app exige una unidad por actividad. Ver hoja Unidades.</t>
    </r>
  </si>
  <si>
    <r>
      <t xml:space="preserve">Unidad desde / hasta</t>
    </r>
  </si>
  <si>
    <r>
      <t xml:space="preserve">25-08-2025 / 11-11-2025</t>
    </r>
  </si>
  <si>
    <r>
      <t xml:space="preserve">curso.unidad no tiene columnas de fecha. Se conservan como referencia (unidad_desde / unidad_hasta).</t>
    </r>
  </si>
  <si>
    <r>
      <t xml:space="preserve">Unidad «General»</t>
    </r>
  </si>
  <si>
    <r>
      <t xml:space="preserve">desde 01-08-2012 hasta 01-08-2012, «Unidad sin actividades definidas»</t>
    </r>
  </si>
  <si>
    <r>
      <t xml:space="preserve">Descartar</t>
    </r>
  </si>
  <si>
    <r>
      <t xml:space="preserve">Placeholder del EVEA sin actividades y con fecha ficticia. No se recomienda sembrarla (incluir = FALSE en hoja Unidades).</t>
    </r>
  </si>
  <si>
    <t>30 (sólo la Actividad 02)</t>
  </si>
  <si>
    <r>
      <t xml:space="preserve">ponderacion</t>
    </r>
  </si>
  <si>
    <r>
      <t xml:space="preserve">numeric(3,0) NOT NULL; 0-100; la UI dice «Debe sumar 100 en el componente» (no está validado en código)</t>
    </r>
  </si>
  <si>
    <t>Coincide parcial</t>
  </si>
  <si>
    <t>La pantalla de evaluación del EVEA trae escrito el 30 de la Actividad 02 y deja VACÍAS las de la 04 y la 06 (total sumativo del módulo: 30 de 100). Define además NOTA FINAL = promedio sumativas × 100 % + promedio formativas × 0 %, así que la ponderación 0 de las formativas tampoco es propuesta nuestra. PROPUESTA que queda en pie: 40 y 30 para la 04 y la 06, proporcional a sus horas (30/25), para que las sumativas sumen 100 como pide la UI.</t>
  </si>
  <si>
    <r>
      <t xml:space="preserve">exigencia</t>
    </r>
  </si>
  <si>
    <r>
      <t xml:space="preserve">numeric(3,0) NOT NULL DEFAULT 60; 0-100</t>
    </r>
  </si>
  <si>
    <r>
      <t xml:space="preserve">Sólo en app</t>
    </r>
  </si>
  <si>
    <r>
      <t xml:space="preserve">Se usa el default de la BD/UI: 60.</t>
    </r>
  </si>
  <si>
    <r>
      <t xml:space="preserve">nro_dias_adicionales_para_bloqueo</t>
    </r>
  </si>
  <si>
    <r>
      <t xml:space="preserve">smallint DEFAULT 0; CHECK &gt;= 0</t>
    </r>
  </si>
  <si>
    <r>
      <t xml:space="preserve">Se usa el default: 0 (sin holgura).</t>
    </r>
  </si>
  <si>
    <r>
      <t xml:space="preserve">visible</t>
    </r>
  </si>
  <si>
    <r>
      <t xml:space="preserve">boolean NOT NULL DEFAULT TRUE</t>
    </r>
  </si>
  <si>
    <r>
      <t xml:space="preserve">Se asume TRUE: las actividades del PDF ya estaban publicadas a los estudiantes.</t>
    </r>
  </si>
  <si>
    <t>Individual (las seis)</t>
  </si>
  <si>
    <r>
      <t xml:space="preserve">es_grupal / max_integrantes</t>
    </r>
  </si>
  <si>
    <r>
      <t xml:space="preserve">boolean DEFAULT FALSE / smallint DEFAULT 1 (UI exige 2-10 si es grupal)</t>
    </r>
  </si>
  <si>
    <t>Se mapea</t>
  </si>
  <si>
    <t>La columna «Forma» de la pantalla de evaluación dice Individual en las seis actividades → es_grupal = FALSE, max_integrantes = 1. Ojo: store() crea un grupo de 1 por estudiante inscrito (GrupoIndividualService); el seeder lo replica.</t>
  </si>
  <si>
    <r>
      <t xml:space="preserve">es_plantilla</t>
    </r>
  </si>
  <si>
    <r>
      <t xml:space="preserve">boolean NOT NULL DEFAULT FALSE</t>
    </r>
  </si>
  <si>
    <r>
      <t xml:space="preserve">store() lo fija en FALSE.</t>
    </r>
  </si>
  <si>
    <r>
      <t xml:space="preserve">id_componente</t>
    </r>
  </si>
  <si>
    <r>
      <t xml:space="preserve">smallint NOT NULL FK curso.componente (tipo vía curso.tipo_componente)</t>
    </r>
  </si>
  <si>
    <r>
      <t xml:space="preserve">DM095 sólo tiene horas de Taller (c=0, t=4, l=0) → todas las actividades cuelgan del componente Taller del curso. Se entrega componente_tipo = Taller para que el seeder lo resuelva.</t>
    </r>
  </si>
  <si>
    <r>
      <t xml:space="preserve">id_contexto</t>
    </r>
  </si>
  <si>
    <r>
      <t xml:space="preserve">integer NOT NULL</t>
    </r>
  </si>
  <si>
    <r>
      <t xml:space="preserve">Lo llena el trigger tr_actividad_pre_insert; no va en el seeder.</t>
    </r>
  </si>
  <si>
    <r>
      <t xml:space="preserve">Cabecera del módulo</t>
    </r>
  </si>
  <si>
    <r>
      <t xml:space="preserve">Taller Profesional IV (A) (DM095): 64 h de clases y 104 h autónomas = 6 créditos</t>
    </r>
  </si>
  <si>
    <r>
      <t xml:space="preserve">asignatura.cod_asignatura / creditos_sct / horas_taller / horas_autonomas</t>
    </r>
  </si>
  <si>
    <r>
      <t xml:space="preserve">administrativo.asignatura (semanales). CarreraDisenioMultimediaSeeder.php:131 → DM095: creditos 6, c=0, t=4, l=0, horas_autonomas=0</t>
    </r>
  </si>
  <si>
    <r>
      <t xml:space="preserve">Coincide parcial</t>
    </r>
  </si>
  <si>
    <r>
      <t xml:space="preserve">Créditos coinciden (6). 64 h de clases = 4 h/sem × 16 semanas ✓. horas_autonomas del seeder es 0 mientras el EVEA declara 104 (≈ 6,5 h/sem): revisar el seeder de la carrera.</t>
    </r>
  </si>
  <si>
    <r>
      <t xml:space="preserve">orden</t>
    </r>
  </si>
  <si>
    <r>
      <t xml:space="preserve">cod_evea</t>
    </r>
  </si>
  <si>
    <r>
      <t xml:space="preserve">es_grupal</t>
    </r>
  </si>
  <si>
    <r>
      <t xml:space="preserve">max_integrantes</t>
    </r>
  </si>
  <si>
    <r>
      <t xml:space="preserve">componente_tipo</t>
    </r>
  </si>
  <si>
    <r>
      <t xml:space="preserve">num_unidad</t>
    </r>
  </si>
  <si>
    <r>
      <t xml:space="preserve">unidad_nombre</t>
    </r>
  </si>
  <si>
    <r>
      <t xml:space="preserve">horas_evea</t>
    </r>
  </si>
  <si>
    <r>
      <t xml:space="preserve">trabajo_autonomo_evea</t>
    </r>
  </si>
  <si>
    <r>
      <t xml:space="preserve">obligatoria_evea</t>
    </r>
  </si>
  <si>
    <r>
      <t xml:space="preserve">entrega_evea</t>
    </r>
  </si>
  <si>
    <r>
      <t xml:space="preserve">unidad_desde_evea</t>
    </r>
  </si>
  <si>
    <r>
      <t xml:space="preserve">unidad_hasta_evea</t>
    </r>
  </si>
  <si>
    <r>
      <t xml:space="preserve">observacion</t>
    </r>
  </si>
  <si>
    <r>
      <t xml:space="preserve">fecha_limite_evea_impresa</t>
    </r>
  </si>
  <si>
    <r>
      <t xml:space="preserve">id_unidad_prod_A</t>
    </r>
  </si>
  <si>
    <r>
      <t xml:space="preserve">id_actividad_prod_A</t>
    </r>
  </si>
  <si>
    <r>
      <t xml:space="preserve">conciliar_con_prod_A</t>
    </r>
  </si>
  <si>
    <r>
      <t xml:space="preserve">alias_nombre_prod</t>
    </r>
  </si>
  <si>
    <r>
      <t xml:space="preserve">FORMATIVA</t>
    </r>
  </si>
  <si>
    <r>
      <t xml:space="preserve">2026-10-06</t>
    </r>
  </si>
  <si>
    <r>
      <t xml:space="preserve">online</t>
    </r>
  </si>
  <si>
    <r>
      <t xml:space="preserve">Taller</t>
    </r>
  </si>
  <si>
    <r>
      <t xml:space="preserve">2026-08-25</t>
    </r>
  </si>
  <si>
    <r>
      <t xml:space="preserve">2026-11-11</t>
    </r>
  </si>
  <si>
    <t>Formativa: ponderación 0 porque el EVEA define NOTA FINAL = promedio sumativas × 100 % + promedio formativas × 0 %. TA=Sí en EVEA.</t>
  </si>
  <si>
    <r>
      <t xml:space="preserve">2025-10-06</t>
    </r>
  </si>
  <si>
    <t>No existe en producción: crear. Hasta el 21-09-2026 se creía que «Tarea 1» (id 7) era esta actividad; el equipo confirmó el 22-09-2026 que es la Actividad 02. Nace formativa, ponderación 0 y SIN rúbrica (la matriz del docente es de la 02).</t>
  </si>
  <si>
    <r>
      <t xml:space="preserve">Actividad 02: Elaborar Terreno</t>
    </r>
  </si>
  <si>
    <r>
      <t xml:space="preserve">SUMATIVA</t>
    </r>
  </si>
  <si>
    <t>Vence el mismo día en que termina la unidad. TA=Sí en EVEA. Ponderación 30 literal del EVEA: es la única sumativa con porcentaje asignado (el total sumativo del módulo suma 30 de 100).</t>
  </si>
  <si>
    <r>
      <t xml:space="preserve">2025-11-11</t>
    </r>
  </si>
  <si>
    <t>ES «Tarea 1» (id 7) de producción: confirmado por el equipo el 22-09-2026. Hoy: nombre «Tarea 1», SUMATIVA, ponderación 30, límite 2026-09-15, en Laboratorio#3, 19 grupos y 1 rúbrica (= la matriz de matriz_evaluacion_act_1.xlsx). Acciones: MOVER a Taller#11 (no borrar: rúbrica y grupos la siguen), renombrar a «Actividad 02: Elaborar Terreno» y corregir el límite a 2026-11-11.</t>
  </si>
  <si>
    <t>Tarea 1</t>
  </si>
  <si>
    <r>
      <t xml:space="preserve">Actividad 03: Incorporar Sistema de partículas</t>
    </r>
  </si>
  <si>
    <r>
      <t xml:space="preserve">2026-12-02</t>
    </r>
  </si>
  <si>
    <r>
      <t xml:space="preserve">Animación de Objetos y Personajes</t>
    </r>
  </si>
  <si>
    <r>
      <t xml:space="preserve">2026-11-12</t>
    </r>
  </si>
  <si>
    <r>
      <t xml:space="preserve">2026-12-09</t>
    </r>
  </si>
  <si>
    <t>Formativa: ponderación 0 (regla de nota final del EVEA, 0 % a las formativas).</t>
  </si>
  <si>
    <r>
      <t xml:space="preserve">2025-12-02</t>
    </r>
  </si>
  <si>
    <r>
      <t xml:space="preserve">No existe en producción: crear.</t>
    </r>
  </si>
  <si>
    <r>
      <t xml:space="preserve">Actividad 04: Animar Objetos</t>
    </r>
  </si>
  <si>
    <t>Vence el mismo día en que termina la unidad. El EVEA dejó su porcentaje VACÍO: el 40 es propuesta nuestra.</t>
  </si>
  <si>
    <r>
      <t xml:space="preserve">2025-12-09</t>
    </r>
  </si>
  <si>
    <r>
      <t xml:space="preserve">Actividad 05: Incorporar UI</t>
    </r>
  </si>
  <si>
    <r>
      <t xml:space="preserve">2026-12-13</t>
    </r>
  </si>
  <si>
    <r>
      <t xml:space="preserve">Interactividad e Interfaz de Usuario</t>
    </r>
  </si>
  <si>
    <r>
      <t xml:space="preserve">2026-12-10</t>
    </r>
  </si>
  <si>
    <r>
      <t xml:space="preserve">2026-12-20</t>
    </r>
  </si>
  <si>
    <r>
      <t xml:space="preserve">2025-12-13</t>
    </r>
  </si>
  <si>
    <r>
      <t xml:space="preserve">Actividad 06: Incorporar Puntaje</t>
    </r>
  </si>
  <si>
    <r>
      <t xml:space="preserve">2026-12-19</t>
    </r>
  </si>
  <si>
    <t>Última actividad del módulo. El EVEA dejó su porcentaje VACÍO: el 30 es propuesta nuestra.</t>
  </si>
  <si>
    <r>
      <t xml:space="preserve">2025-12-19</t>
    </r>
  </si>
  <si>
    <t>tipo_evea</t>
  </si>
  <si>
    <t>Ficha</t>
  </si>
  <si>
    <t>Tarea</t>
  </si>
  <si>
    <r>
      <t xml:space="preserve">descripcion</t>
    </r>
  </si>
  <si>
    <r>
      <t xml:space="preserve">desde_evea</t>
    </r>
  </si>
  <si>
    <r>
      <t xml:space="preserve">hasta_evea</t>
    </r>
  </si>
  <si>
    <r>
      <t xml:space="preserve">incluir</t>
    </r>
  </si>
  <si>
    <r>
      <t xml:space="preserve">General</t>
    </r>
  </si>
  <si>
    <r>
      <t xml:space="preserve">2012-08-01</t>
    </r>
  </si>
  <si>
    <r>
      <t xml:space="preserve">Placeholder del EVEA: «Unidad sin actividades definidas», fecha ficticia. No sembrar.</t>
    </r>
  </si>
  <si>
    <r>
      <t xml:space="preserve">2025-08-25</t>
    </r>
  </si>
  <si>
    <r>
      <t xml:space="preserve">Actividades 01 y 02.</t>
    </r>
  </si>
  <si>
    <r>
      <t xml:space="preserve">2025-11-12</t>
    </r>
  </si>
  <si>
    <r>
      <t xml:space="preserve">Actividades 03 y 04.</t>
    </r>
  </si>
  <si>
    <r>
      <t xml:space="preserve">2025-12-10</t>
    </r>
  </si>
  <si>
    <r>
      <t xml:space="preserve">2025-12-20</t>
    </r>
  </si>
  <si>
    <r>
      <t xml:space="preserve">Actividades 05 y 06.</t>
    </r>
  </si>
  <si>
    <r>
      <t xml:space="preserve">Cabecera del módulo (PDF) y verificaciones</t>
    </r>
  </si>
  <si>
    <r>
      <t xml:space="preserve">Dato</t>
    </r>
  </si>
  <si>
    <r>
      <t xml:space="preserve">Valor</t>
    </r>
  </si>
  <si>
    <r>
      <t xml:space="preserve">Origen / observación</t>
    </r>
  </si>
  <si>
    <r>
      <t xml:space="preserve">cod_asignatura</t>
    </r>
  </si>
  <si>
    <r>
      <t xml:space="preserve">DM095</t>
    </r>
  </si>
  <si>
    <r>
      <t xml:space="preserve">PDF. Existe en CarreraDisenioMultimediaSeeder.php:131 y database-model/seeds/02-asignaturas.sql.</t>
    </r>
  </si>
  <si>
    <r>
      <t xml:space="preserve">asignatura_nombre</t>
    </r>
  </si>
  <si>
    <r>
      <t xml:space="preserve">Taller Profesional IV</t>
    </r>
  </si>
  <si>
    <r>
      <t xml:space="preserve">PDF.</t>
    </r>
  </si>
  <si>
    <r>
      <t xml:space="preserve">seccion</t>
    </r>
  </si>
  <si>
    <r>
      <t xml:space="preserve">A</t>
    </r>
  </si>
  <si>
    <r>
      <t xml:space="preserve">PDF: «Taller Profesional IV (A)». Debe existir un curso.curso para DM095 sección A con componente Taller y las 3 unidades.</t>
    </r>
  </si>
  <si>
    <r>
      <t xml:space="preserve">horas_clases_evea</t>
    </r>
  </si>
  <si>
    <r>
      <t xml:space="preserve">PDF. Equivale a horas_taller 4/sem × 16 semanas.</t>
    </r>
  </si>
  <si>
    <r>
      <t xml:space="preserve">horas_autonomas_evea</t>
    </r>
  </si>
  <si>
    <r>
      <t xml:space="preserve">PDF. El seeder de la carrera tiene horas_autonomas = 0 para DM095 → discrepancia a revisar.</t>
    </r>
  </si>
  <si>
    <r>
      <t xml:space="preserve">creditos_evea</t>
    </r>
  </si>
  <si>
    <r>
      <t xml:space="preserve">PDF. Coincide con creditos_sct = 6 del seeder.</t>
    </r>
  </si>
  <si>
    <r>
      <t xml:space="preserve">fecha_impresion_pdf</t>
    </r>
  </si>
  <si>
    <r>
      <t xml:space="preserve">2026-09-21</t>
    </r>
  </si>
  <si>
    <r>
      <t xml:space="preserve">PDF (21/9/26 16:46).</t>
    </r>
  </si>
  <si>
    <r>
      <t xml:space="preserve">Verificaciones (fórmulas)</t>
    </r>
  </si>
  <si>
    <r>
      <t xml:space="preserve">total_horas_actividades</t>
    </r>
  </si>
  <si>
    <r>
      <t xml:space="preserve">Suma de horas_evea de las 6 actividades (esperado 129).</t>
    </r>
  </si>
  <si>
    <r>
      <t xml:space="preserve">horas_TA_declaradas</t>
    </r>
  </si>
  <si>
    <r>
      <t xml:space="preserve">Sólo TA=Sí. El PDF dice «45 hrs. declaradas».</t>
    </r>
  </si>
  <si>
    <r>
      <t xml:space="preserve">horas_TA_pendientes</t>
    </r>
  </si>
  <si>
    <r>
      <t xml:space="preserve">horas_autonomas_evea − horas_TA_declaradas. El PDF dice «le quedan 59 horas».</t>
    </r>
  </si>
  <si>
    <r>
      <t xml:space="preserve">suma_ponderacion_sumativas</t>
    </r>
  </si>
  <si>
    <r>
      <t xml:space="preserve">Debe dar 100 (regla de la UI: suma 100 en el componente).</t>
    </r>
  </si>
  <si>
    <r>
      <t xml:space="preserve">suma_ponderacion_formativas</t>
    </r>
  </si>
  <si>
    <r>
      <t xml:space="preserve">Propuesta: 0.</t>
    </r>
  </si>
  <si>
    <r>
      <t xml:space="preserve">n_actividades</t>
    </r>
  </si>
  <si>
    <r>
      <t xml:space="preserve">Esperado 6.</t>
    </r>
  </si>
  <si>
    <r>
      <t xml:space="preserve">n_unidades_a_sembrar</t>
    </r>
  </si>
  <si>
    <r>
      <t xml:space="preserve">Esperado 3 (se descarta «General»).</t>
    </r>
  </si>
  <si>
    <r>
      <t xml:space="preserve">Producción (2026-09-21)</t>
    </r>
  </si>
  <si>
    <r>
      <t xml:space="preserve">id_curso A / B</t>
    </r>
  </si>
  <si>
    <r>
      <t xml:space="preserve">2 / 5</t>
    </r>
  </si>
  <si>
    <r>
      <t xml:space="preserve">consulta_cursos_alumnos.tinker.php en utamed_1ra_fase.</t>
    </r>
  </si>
  <si>
    <r>
      <t xml:space="preserve">cod_curso A / B</t>
    </r>
  </si>
  <si>
    <r>
      <t xml:space="preserve">11000 / 111100</t>
    </r>
  </si>
  <si>
    <r>
      <t xml:space="preserve">Tipeados por el admin en el wizard.</t>
    </r>
  </si>
  <si>
    <r>
      <t xml:space="preserve">período</t>
    </r>
  </si>
  <si>
    <r>
      <t xml:space="preserve">2026-2 (07-08-2026 → 07-02-2027)</t>
    </r>
  </si>
  <si>
    <r>
      <t xml:space="preserve">El EVEA imprimía 2025 por error; las fechas reales son 2026 (columna fecha_limite).</t>
    </r>
  </si>
  <si>
    <r>
      <t xml:space="preserve">componentes A</t>
    </r>
  </si>
  <si>
    <r>
      <t xml:space="preserve">Laboratorio#3, Taller#11</t>
    </r>
  </si>
  <si>
    <r>
      <t xml:space="preserve">Ambos con csandovy.</t>
    </r>
  </si>
  <si>
    <r>
      <t xml:space="preserve">componentes B</t>
    </r>
  </si>
  <si>
    <r>
      <t xml:space="preserve">Laboratorio#8, Taller#12</t>
    </r>
  </si>
  <si>
    <r>
      <t xml:space="preserve">Taller#12 SIN docente_componente.</t>
    </r>
  </si>
  <si>
    <r>
      <t xml:space="preserve">contenido previo A</t>
    </r>
  </si>
  <si>
    <r>
      <t xml:space="preserve">3 unidades, 1 actividad, 1 programa</t>
    </r>
  </si>
  <si>
    <r>
      <t xml:space="preserve">El seeder debe fusionar. Detalle: consulta_dm095_detalle.tinker.php.</t>
    </r>
  </si>
  <si>
    <r>
      <t xml:space="preserve">contenido previo B</t>
    </r>
  </si>
  <si>
    <r>
      <t xml:space="preserve">0 / 0 / 0</t>
    </r>
  </si>
  <si>
    <r>
      <t xml:space="preserve">inscritos A / B</t>
    </r>
  </si>
  <si>
    <r>
      <t xml:space="preserve">19 / 19</t>
    </r>
  </si>
  <si>
    <r>
      <t xml:space="preserve">Ya inscritos por Intranet; estudiantes.xlsx no hace falta para inscribir.</t>
    </r>
  </si>
  <si>
    <r>
      <t xml:space="preserve">Producción: detalle DM095 A (2026-09-21)</t>
    </r>
  </si>
  <si>
    <r>
      <t xml:space="preserve">unidades A</t>
    </r>
  </si>
  <si>
    <r>
      <t xml:space="preserve">id 4/5/6 = num 1/2/3</t>
    </r>
  </si>
  <si>
    <r>
      <t xml:space="preserve">Nombres «Unidad N : &lt;título PDF&gt;». Reutilizar, no renombrar.</t>
    </r>
  </si>
  <si>
    <r>
      <t xml:space="preserve">actividad existente A</t>
    </r>
  </si>
  <si>
    <t>id 7 «Tarea 1» = Actividad 02 (confirmado 22-09-2026)</t>
  </si>
  <si>
    <t>SUMATIVA pond 30, Laboratorio#3, unidad 1, límite 2026-09-15, 19 grupos, 1 rúbrica. MOVER a Taller#11; renombrar a «Actividad 02: Elaborar Terreno» y corregir el límite a 2026-11-11. Su rúbrica es la matriz de matriz_evaluacion_act_1.xlsx. En A se crean las otras cinco (01 y 03-06).</t>
  </si>
  <si>
    <r>
      <t xml:space="preserve">programa A</t>
    </r>
  </si>
  <si>
    <r>
      <t xml:space="preserve">id 2, COMPLETO, APROBADO</t>
    </r>
  </si>
  <si>
    <r>
      <t xml:space="preserve">No crear otro. Bibliografía pendiente (tabla + JSON VIII).</t>
    </r>
  </si>
  <si>
    <r>
      <t xml:space="preserve">componente destino</t>
    </r>
  </si>
  <si>
    <r>
      <t xml:space="preserve">Taller (decidido)</t>
    </r>
  </si>
  <si>
    <r>
      <t xml:space="preserve">Laboratorio es un bug y se borrará. Antes: mover Tarea 1 a Taller#11; limpiar inscripcion_componente (19 en #3, 19 en #8), docente_componente, contextos 19/36 y roles.</t>
    </r>
  </si>
  <si>
    <t>Regla de nota final (EVEA)</t>
  </si>
  <si>
    <t>promedio sumativas × 100 % + promedio formativas × 0 %</t>
  </si>
  <si>
    <t>Pantalla «Actividades sumativas / formativas», captura del 22-09-2026. La app no guarda esta fórmula: se refleja dejando las formativas en ponderacion 0.</t>
  </si>
  <si>
    <t>Porcentaje sumativo asignado en EVEA</t>
  </si>
  <si>
    <t>30 de 100</t>
  </si>
  <si>
    <t>Sólo la Actividad 02 tiene porcentaje en el EVEA (30). La 04 y la 06 están vacías; el 40 y el 30 son propuesta nuestra para completar el 100 que pide la UI.</t>
  </si>
  <si>
    <t>Rúbricas entregadas</t>
  </si>
  <si>
    <t>1 de 3 sumativas</t>
  </si>
  <si>
    <t>Actividad 02 → matriz_evaluacion_act_1.xlsx. Las formativas no llevan rúbrica; faltan las matrices de la 04 y la 06.</t>
  </si>
</sst>
</file>

<file path=xl/styles.xml><?xml version="1.0" encoding="utf-8"?>
<styleSheet xmlns="http://schemas.openxmlformats.org/spreadsheetml/2006/main" xml:space="preserve">
  <numFmts count="0"/>
  <fonts count="11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2"/>
      <color rgb="FF000000"/>
      <name val="Arial"/>
    </font>
    <font>
      <b val="1"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000000FF"/>
      <name val="Arial"/>
    </font>
    <font>
      <b val="0"/>
      <i val="0"/>
      <strike val="0"/>
      <u val="none"/>
      <sz val="10"/>
      <color rgb="00000000"/>
      <name val="Arial"/>
    </font>
    <font>
      <b val="0"/>
      <i val="0"/>
      <strike val="0"/>
      <u val="none"/>
      <sz val="10"/>
      <color rgb="00008000"/>
      <name val="Arial"/>
    </font>
    <font>
      <b val="0"/>
      <i val="0"/>
      <strike val="0"/>
      <u val="none"/>
      <sz val="10"/>
      <color rgb="FF0000FF"/>
      <name val="Arial"/>
    </font>
    <font>
      <b val="0"/>
      <i val="0"/>
      <strike val="0"/>
      <u val="none"/>
      <sz val="10"/>
      <color rgb="FFC00000"/>
      <name val="Arial"/>
    </font>
    <font>
      <b val="1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FF"/>
      <name val="Calibri"/>
      <scheme val="minor"/>
    </font>
  </fonts>
  <fills count="11">
    <fill>
      <patternFill patternType="none"/>
    </fill>
    <fill>
      <patternFill patternType="gray125"/>
    </fill>
    <fill>
      <patternFill patternType="solid">
        <fgColor rgb="00FFFF00"/>
        <bgColor rgb="FF000000"/>
      </patternFill>
    </fill>
    <fill>
      <patternFill patternType="solid">
        <fgColor rgb="00E7E6E6"/>
        <bgColor rgb="FF000000"/>
      </patternFill>
    </fill>
    <fill>
      <patternFill patternType="solid">
        <fgColor rgb="00D9E1F2"/>
        <bgColor rgb="FF000000"/>
      </patternFill>
    </fill>
    <fill>
      <patternFill patternType="solid">
        <fgColor rgb="00E2EFDA"/>
        <bgColor rgb="FF000000"/>
      </patternFill>
    </fill>
    <fill>
      <patternFill patternType="none"/>
    </fill>
    <fill>
      <patternFill patternType="solid">
        <fgColor rgb="FFE2EFDA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D9E1F2"/>
        <bgColor rgb="FF000000"/>
      </patternFill>
    </fill>
    <fill>
      <patternFill patternType="solid">
        <fgColor rgb="FFE7E6E6"/>
        <bgColor rgb="FF0000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5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vertical="top" textRotation="0" wrapText="true" shrinkToFit="false"/>
    </xf>
    <xf xfId="0" fontId="4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2" numFmtId="0" fillId="2" borderId="0" applyFont="1" applyNumberFormat="0" applyFill="1" applyBorder="0" applyAlignment="0"/>
    <xf xfId="0" fontId="2" numFmtId="0" fillId="3" borderId="0" applyFont="1" applyNumberFormat="0" applyFill="1" applyBorder="0" applyAlignment="0"/>
    <xf xfId="0" fontId="2" numFmtId="0" fillId="4" borderId="1" applyFont="1" applyNumberFormat="0" applyFill="1" applyBorder="1" applyAlignment="1">
      <alignment vertical="top" textRotation="0" wrapText="true" shrinkToFit="false"/>
    </xf>
    <xf xfId="0" fontId="3" numFmtId="0" fillId="0" borderId="1" applyFont="1" applyNumberFormat="0" applyFill="0" applyBorder="1" applyAlignment="1">
      <alignment horizontal="center" vertical="top" textRotation="0" wrapText="false" shrinkToFit="false"/>
    </xf>
    <xf xfId="0" fontId="3" numFmtId="0" fillId="0" borderId="1" applyFont="1" applyNumberFormat="0" applyFill="0" applyBorder="1" applyAlignment="1">
      <alignment vertical="top" textRotation="0" wrapText="true" shrinkToFit="false"/>
    </xf>
    <xf xfId="0" fontId="4" numFmtId="0" fillId="0" borderId="1" applyFont="1" applyNumberFormat="0" applyFill="0" applyBorder="1" applyAlignment="1">
      <alignment vertical="top" textRotation="0" wrapText="true" shrinkToFit="false"/>
    </xf>
    <xf xfId="0" fontId="3" numFmtId="0" fillId="3" borderId="1" applyFont="1" applyNumberFormat="0" applyFill="1" applyBorder="1" applyAlignment="1">
      <alignment vertical="top" textRotation="0" wrapText="true" shrinkToFit="false"/>
    </xf>
    <xf xfId="0" fontId="3" numFmtId="0" fillId="2" borderId="1" applyFont="1" applyNumberFormat="0" applyFill="1" applyBorder="1" applyAlignment="1">
      <alignment vertical="top" textRotation="0" wrapText="true" shrinkToFit="false"/>
    </xf>
    <xf xfId="0" fontId="2" numFmtId="0" fillId="3" borderId="1" applyFont="1" applyNumberFormat="0" applyFill="1" applyBorder="1" applyAlignment="1">
      <alignment vertical="top" textRotation="0" wrapText="true" shrinkToFit="false"/>
    </xf>
    <xf xfId="0" fontId="2" numFmtId="0" fillId="2" borderId="1" applyFont="1" applyNumberFormat="0" applyFill="1" applyBorder="1" applyAlignment="1">
      <alignment vertical="top" textRotation="0" wrapText="true" shrinkToFit="false"/>
    </xf>
    <xf xfId="0" fontId="4" numFmtId="0" fillId="3" borderId="1" applyFont="1" applyNumberFormat="0" applyFill="1" applyBorder="1" applyAlignment="1">
      <alignment horizontal="center" vertical="top" textRotation="0" wrapText="false" shrinkToFit="false"/>
    </xf>
    <xf xfId="0" fontId="4" numFmtId="0" fillId="0" borderId="1" applyFont="1" applyNumberFormat="0" applyFill="0" applyBorder="1" applyAlignment="1">
      <alignment horizontal="center" vertical="top" textRotation="0" wrapText="false" shrinkToFit="false"/>
    </xf>
    <xf xfId="0" fontId="3" numFmtId="0" fillId="2" borderId="1" applyFont="1" applyNumberFormat="0" applyFill="1" applyBorder="1" applyAlignment="1">
      <alignment horizontal="center" vertical="top" textRotation="0" wrapText="false" shrinkToFit="false"/>
    </xf>
    <xf xfId="0" fontId="4" numFmtId="0" fillId="3" borderId="1" applyFont="1" applyNumberFormat="0" applyFill="1" applyBorder="1" applyAlignment="1">
      <alignment vertical="top" textRotation="0" wrapText="true" shrinkToFit="false"/>
    </xf>
    <xf xfId="0" fontId="3" numFmtId="0" fillId="3" borderId="1" applyFont="1" applyNumberFormat="0" applyFill="1" applyBorder="1" applyAlignment="1">
      <alignment horizontal="center" vertical="top" textRotation="0" wrapText="false" shrinkToFit="false"/>
    </xf>
    <xf xfId="0" fontId="2" numFmtId="0" fillId="0" borderId="1" applyFont="1" applyNumberFormat="0" applyFill="0" applyBorder="1" applyAlignment="0"/>
    <xf xfId="0" fontId="3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center" vertical="top" textRotation="0" wrapText="false" shrinkToFit="false"/>
    </xf>
    <xf xfId="0" fontId="2" numFmtId="0" fillId="0" borderId="1" applyFont="1" applyNumberFormat="0" applyFill="0" applyBorder="1" applyAlignment="1">
      <alignment horizontal="center" vertical="top" textRotation="0" wrapText="false" shrinkToFit="false"/>
    </xf>
    <xf xfId="0" fontId="6" numFmtId="0" fillId="0" borderId="1" applyFont="1" applyNumberFormat="0" applyFill="0" applyBorder="1" applyAlignment="1">
      <alignment horizontal="center" vertical="top" textRotation="0" wrapText="false" shrinkToFit="false"/>
    </xf>
    <xf xfId="0" fontId="5" numFmtId="0" fillId="0" borderId="1" applyFont="1" applyNumberFormat="0" applyFill="0" applyBorder="1" applyAlignment="1">
      <alignment horizontal="center" vertical="top" textRotation="0" wrapText="false" shrinkToFit="false"/>
    </xf>
    <xf xfId="0" fontId="2" numFmtId="0" fillId="0" borderId="1" applyFont="1" applyNumberFormat="0" applyFill="0" applyBorder="1" applyAlignment="1">
      <alignment vertical="top" textRotation="0" wrapText="true" shrinkToFit="false"/>
    </xf>
    <xf xfId="0" fontId="4" numFmtId="0" fillId="5" borderId="1" applyFont="1" applyNumberFormat="0" applyFill="1" applyBorder="1" applyAlignment="1">
      <alignment horizontal="center" vertical="top" textRotation="0" wrapText="false" shrinkToFit="false"/>
    </xf>
    <xf xfId="0" fontId="0" numFmtId="0" fillId="0" borderId="1" applyFont="0" applyNumberFormat="0" applyFill="0" applyBorder="1" applyAlignment="1">
      <alignment vertical="top" textRotation="0" wrapText="true" shrinkToFit="false"/>
    </xf>
    <xf xfId="0" fontId="2" numFmtId="0" fillId="5" borderId="1" applyFont="1" applyNumberFormat="0" applyFill="1" applyBorder="1" applyAlignment="1">
      <alignment vertical="top" textRotation="0" wrapText="true" shrinkToFit="false"/>
    </xf>
    <xf xfId="0" fontId="3" numFmtId="0" fillId="5" borderId="1" applyFont="1" applyNumberFormat="0" applyFill="1" applyBorder="1" applyAlignment="1">
      <alignment horizontal="center" vertical="top" textRotation="0" wrapText="false" shrinkToFit="false"/>
    </xf>
    <xf xfId="0" fontId="4" numFmtId="0" fillId="0" borderId="1" applyFont="1" applyNumberFormat="0" applyFill="0" applyBorder="1" applyAlignment="0"/>
    <xf xfId="0" fontId="4" numFmtId="0" fillId="6" borderId="1" applyFont="1" applyNumberFormat="0" applyFill="1" applyBorder="1" applyAlignment="1">
      <alignment horizontal="center" vertical="top" textRotation="0" wrapText="false" shrinkToFit="false"/>
    </xf>
    <xf xfId="0" fontId="2" numFmtId="0" fillId="6" borderId="1" applyFont="1" applyNumberFormat="0" applyFill="1" applyBorder="1" applyAlignment="1">
      <alignment vertical="top" textRotation="0" wrapText="true" shrinkToFit="false"/>
    </xf>
    <xf xfId="0" fontId="7" numFmtId="0" fillId="7" borderId="1" applyFont="1" applyNumberFormat="0" applyFill="1" applyBorder="1" applyAlignment="1">
      <alignment horizontal="center" vertical="top" textRotation="0" wrapText="false" shrinkToFit="false"/>
    </xf>
    <xf xfId="0" fontId="7" numFmtId="0" fillId="7" borderId="1" applyFont="1" applyNumberFormat="0" applyFill="1" applyBorder="1" applyAlignment="0"/>
    <xf xfId="0" fontId="3" numFmtId="0" fillId="8" borderId="1" applyFont="1" applyNumberFormat="0" applyFill="1" applyBorder="1" applyAlignment="1">
      <alignment vertical="top" textRotation="0" wrapText="true" shrinkToFit="false"/>
    </xf>
    <xf xfId="0" fontId="8" numFmtId="0" fillId="8" borderId="1" applyFont="1" applyNumberFormat="0" applyFill="1" applyBorder="1" applyAlignment="1">
      <alignment vertical="top" textRotation="0" wrapText="true" shrinkToFit="false"/>
    </xf>
    <xf xfId="0" fontId="3" numFmtId="0" fillId="6" borderId="1" applyFont="1" applyNumberFormat="0" applyFill="1" applyBorder="1" applyAlignment="1">
      <alignment horizontal="center" vertical="top" textRotation="0" wrapText="false" shrinkToFit="false"/>
    </xf>
    <xf xfId="0" fontId="7" numFmtId="0" fillId="6" borderId="1" applyFont="1" applyNumberFormat="0" applyFill="1" applyBorder="1" applyAlignment="1">
      <alignment horizontal="center" vertical="top" textRotation="0" wrapText="false" shrinkToFit="false"/>
    </xf>
    <xf xfId="0" fontId="2" numFmtId="0" fillId="9" borderId="1" applyFont="1" applyNumberFormat="0" applyFill="1" applyBorder="1" applyAlignment="1">
      <alignment vertical="top" textRotation="0" wrapText="true" shrinkToFit="false"/>
    </xf>
    <xf xfId="0" fontId="9" numFmtId="0" fillId="10" borderId="0" applyFont="1" applyNumberFormat="0" applyFill="1" applyBorder="0" applyAlignment="0"/>
    <xf xfId="0" fontId="10" numFmtId="0" fillId="10" borderId="0" applyFont="1" applyNumberFormat="0" applyFill="1" applyBorder="0" applyAlignment="0"/>
    <xf xfId="0" fontId="7" numFmtId="0" fillId="0" borderId="1" applyFont="1" applyNumberFormat="0" applyFill="0" applyBorder="1" applyAlignment="1">
      <alignment vertical="top" textRotation="0" wrapText="true" shrinkToFit="false"/>
    </xf>
    <xf xfId="0" fontId="3" numFmtId="0" fillId="10" borderId="1" applyFont="1" applyNumberFormat="0" applyFill="1" applyBorder="1" applyAlignment="1">
      <alignment vertical="top" textRotation="0" wrapText="true" shrinkToFit="false"/>
    </xf>
    <xf xfId="0" fontId="3" numFmtId="0" fillId="6" borderId="1" applyFont="1" applyNumberFormat="0" applyFill="1" applyBorder="1" applyAlignment="1">
      <alignment vertical="top" textRotation="0" wrapText="true" shrinkToFit="false"/>
    </xf>
    <xf xfId="0" fontId="9" numFmtId="0" fillId="0" borderId="0" applyFont="1" applyNumberFormat="0" applyFill="0" applyBorder="0" applyAlignment="0"/>
    <xf xfId="0" fontId="10" numFmtId="0" fillId="0" borderId="0" applyFont="1" applyNumberFormat="0" applyFill="0" applyBorder="0" applyAlignment="0"/>
    <xf xfId="0" fontId="0" numFmtId="0" fillId="7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vmlDrawing3.vml.rels><?xml version="1.0" encoding="UTF-8" standalone="yes"?>
<Relationships xmlns="http://schemas.openxmlformats.org/package/2006/relationships"/>
</file>

<file path=xl/drawings/_rels/vmlDrawing4.vml.rels><?xml version="1.0" encoding="UTF-8" standalone="yes"?>
<Relationships xmlns="http://schemas.openxmlformats.org/package/2006/relationships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3.vml"/><Relationship Id="rId_comments1" Type="http://schemas.openxmlformats.org/officeDocument/2006/relationships/comments" Target="../comments3.xml"/></Relationships>
</file>

<file path=xl/worksheets/_rels/sheet4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4.vml"/><Relationship Id="rId_comments1" Type="http://schemas.openxmlformats.org/officeDocument/2006/relationships/comments" Target="../comments4.xml"/></Relationships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B16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28" customWidth="true" style="0"/>
    <col min="2" max="2" width="110" customWidth="true" style="0"/>
  </cols>
  <sheetData>
    <row r="1" spans="1:2">
      <c r="A1" s="1" t="inlineStr">
        <is>
          <r>
            <t xml:space="preserve">Actividades EVEA (legado) → UTAMED: Taller Profesional IV (A) (DM095)</t>
          </r>
        </is>
      </c>
    </row>
    <row r="3" spans="1:2">
      <c r="A3" s="2" t="inlineStr">
        <is>
          <r>
            <t xml:space="preserve">Fuente</t>
          </r>
        </is>
      </c>
      <c r="B3" s="3" t="inlineStr">
        <is>
          <r>
            <t xml:space="preserve">C:\Users\yampa\Downloads\actividades.pdf — impresión de «Gestión Módulo» del EVEA antiguo (146.83.111.141/cgi-bin/db2www/verifica.d2w), 21-09-2026 16:46.</t>
          </r>
        </is>
      </c>
    </row>
    <row r="4" spans="1:2">
      <c r="A4" s="2" t="inlineStr">
        <is>
          <r>
            <t xml:space="preserve">Propósito</t>
          </r>
        </is>
      </c>
      <c r="B4" s="3" t="inlineStr">
        <is>
          <r>
            <t xml:space="preserve">Comparar las actividades del EVEA con el modelo de actividad de la aplicación (agenda.actividad) y dejar los datos listos para un seeder. El seeder NO forma parte de este archivo.</t>
          </r>
        </is>
      </c>
    </row>
    <row r="5" spans="1:2">
      <c r="A5" s="2" t="inlineStr">
        <is>
          <r>
            <t xml:space="preserve">Modelo destino</t>
          </r>
        </is>
      </c>
      <c r="B5" s="3" t="inlineStr">
        <is>
          <r>
            <t xml:space="preserve">agenda.actividad (App\Models\Agenda\Actividad). Fillable: nombre, fecha_limite, nro_dias_adicionales_para_bloqueo, visible, ponderacion, exigencia, tipo_actividad, tipo_entrega, es_grupal, max_integrantes, es_plantilla, id_componente, id_unidad, uuid_archivo_enunciado. id_contexto lo llena el trigger tr_actividad_pre_insert.</t>
          </r>
        </is>
      </c>
    </row>
    <row r="6" spans="1:2">
      <c r="A6" s="2" t="inlineStr">
        <is>
          <r>
            <t xml:space="preserve">Validación de la app</t>
          </r>
        </is>
      </c>
      <c r="B6" s="3" t="inlineStr">
        <is>
          <r>
            <t xml:space="preserve">DocenteActivityController::store(): nombre required|max:255; fecha_limite required|date; tipo_actividad in:SUMATIVA,FORMATIVA; tipo_entrega in:online,presencial,hibrido; ponderacion/exigencia integer 0-100; nro_dias_adicionales_para_bloqueo integer &gt;= 0; max_integrantes 1-100; id_componente e id_unidad required.</t>
          </r>
        </is>
      </c>
    </row>
    <row r="7" spans="1:2">
      <c r="A7" s="2" t="inlineStr">
        <is>
          <r>
            <t xml:space="preserve">Hojas</t>
          </r>
        </is>
      </c>
      <c r="B7" s="3" t="inlineStr">
        <is>
          <r>
            <t xml:space="preserve">Comparacion: campo a campo PDF vs app. · Actividades: las 6 actividades en la forma de agenda.actividad (una fila = un Actividad::create). · Unidades: las unidades del PDF en la forma de curso.unidad. · Curso: datos de cabecera del PDF y verificaciones.</t>
          </r>
        </is>
      </c>
    </row>
    <row r="8" spans="1:2">
      <c r="A8" s="2"/>
      <c r="B8" s="3"/>
    </row>
    <row r="9" spans="1:2">
      <c r="A9" s="2" t="inlineStr">
        <is>
          <r>
            <t xml:space="preserve">Colores</t>
          </r>
        </is>
      </c>
      <c r="B9" s="3"/>
    </row>
    <row r="10" spans="1:2">
      <c r="A10" s="4" t="inlineStr">
        <is>
          <r>
            <t xml:space="preserve">Texto azul</t>
          </r>
        </is>
      </c>
      <c r="B10" s="3" t="inlineStr">
        <is>
          <r>
            <t xml:space="preserve">Dato tomado literalmente del PDF.</t>
          </r>
        </is>
      </c>
    </row>
    <row r="11" spans="1:2">
      <c r="A11" s="5" t="inlineStr">
        <is>
          <r>
            <t xml:space="preserve">Texto negro</t>
          </r>
        </is>
      </c>
      <c r="B11" s="3" t="inlineStr">
        <is>
          <r>
            <t xml:space="preserve">Dato derivado o mapeado desde el PDF (p. ej. «Con envío de archivo» → tipo_entrega = online; «Formativa» → FORMATIVA).</t>
          </r>
        </is>
      </c>
    </row>
    <row r="12" spans="1:2">
      <c r="A12" s="6" t="inlineStr">
        <is>
          <r>
            <t xml:space="preserve">Fondo amarillo</t>
          </r>
        </is>
      </c>
      <c r="B12" s="3" t="inlineStr">
        <is>
          <r>
            <t xml:space="preserve">Valor PROPUESTO: la app lo exige y el PDF no lo trae. El equipo debe confirmarlo antes de sembrar.</t>
          </r>
        </is>
      </c>
    </row>
    <row r="13" spans="1:2">
      <c r="A13" s="7" t="inlineStr">
        <is>
          <r>
            <t xml:space="preserve">Fondo gris</t>
          </r>
        </is>
      </c>
      <c r="B13" s="3" t="inlineStr">
        <is>
          <r>
            <t xml:space="preserve">Columna del legado SIN equivalente en la app. Se conserva sólo como referencia; el seeder debe ignorarla.</t>
          </r>
        </is>
      </c>
    </row>
    <row r="14" spans="1:2">
      <c r="A14" s="2"/>
      <c r="B14" s="3"/>
    </row>
    <row r="15" spans="1:2">
      <c r="A15" s="2" t="inlineStr">
        <is>
          <r>
            <t xml:space="preserve">Convenciones de datos</t>
          </r>
        </is>
      </c>
      <c r="B15" s="3" t="inlineStr">
        <is>
          <r>
            <t xml:space="preserve">Fechas como texto ISO YYYY-MM-DD (fecha_limite es DATE en la BD y el modelo serializa Y-m-d). Booleanos como TRUE/FALSE. tipo_actividad en MAYÚSCULAS como el ENUM agenda.en_tipo_actividad.</t>
          </r>
        </is>
      </c>
    </row>
    <row r="16" spans="1:2">
      <c r="A16" s="2" t="inlineStr">
        <is>
          <r>
            <t xml:space="preserve">Fórmulas</t>
          </r>
        </is>
      </c>
      <c r="B16" s="3" t="inlineStr">
        <is>
          <r>
            <t xml:space="preserve">Sólo la hoja Curso tiene fórmulas de verificación; se calculan al abrir el archivo en Excel. La hoja Actividades es 100 % valores para que cualquier lector (PhpSpreadsheet, pandas) la consuma sin recálculo.</t>
          </r>
        </is>
      </c>
    </row>
  </sheetData>
  <printOptions gridLines="false" gridLinesSet="true"/>
  <pageMargins left="0.75" right="0.75" top="1" bottom="1" header="0.5" footer="0.5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  <pageSetUpPr fitToPage="1"/>
  </sheetPr>
  <dimension ref="A1:G26"/>
  <sheetViews>
    <sheetView tabSelected="0" workbookViewId="0" showGridLines="true" showRowColHeaders="1">
      <pane ySplit="1" topLeftCell="A2" activePane="bottomLeft" state="frozen"/>
      <selection pane="bottomLeft" activeCell="F22" sqref="F22"/>
    </sheetView>
  </sheetViews>
  <sheetFormatPr defaultRowHeight="14.4" outlineLevelRow="0" outlineLevelCol="0"/>
  <cols>
    <col min="1" max="1" width="4" customWidth="true" style="0"/>
    <col min="2" max="2" width="30" customWidth="true" style="0"/>
    <col min="3" max="3" width="30" customWidth="true" style="0"/>
    <col min="4" max="4" width="30" customWidth="true" style="0"/>
    <col min="5" max="5" width="48" customWidth="true" style="0"/>
    <col min="6" max="6" width="20" customWidth="true" style="0"/>
    <col min="7" max="7" width="70" customWidth="true" style="0"/>
  </cols>
  <sheetData>
    <row r="1" spans="1:7">
      <c r="A1" s="8" t="inlineStr">
        <is>
          <r>
            <t xml:space="preserve">#</t>
          </r>
        </is>
      </c>
      <c r="B1" s="8" t="inlineStr">
        <is>
          <r>
            <t xml:space="preserve">Campo en el PDF (EVEA)</t>
          </r>
        </is>
      </c>
      <c r="C1" s="8" t="inlineStr">
        <is>
          <r>
            <t xml:space="preserve">Ejemplo en el PDF</t>
          </r>
        </is>
      </c>
      <c r="D1" s="8" t="inlineStr">
        <is>
          <r>
            <t xml:space="preserve">Campo en la app</t>
          </r>
        </is>
      </c>
      <c r="E1" s="8" t="inlineStr">
        <is>
          <r>
            <t xml:space="preserve">Tabla.columna / tipo / regla</t>
          </r>
        </is>
      </c>
      <c r="F1" s="8" t="inlineStr">
        <is>
          <r>
            <t xml:space="preserve">Estado</t>
          </r>
        </is>
      </c>
      <c r="G1" s="8" t="inlineStr">
        <is>
          <r>
            <t xml:space="preserve">Observación</t>
          </r>
        </is>
      </c>
    </row>
    <row r="2" spans="1:7">
      <c r="A2" s="9">
        <v>1</v>
      </c>
      <c r="B2" s="10" t="inlineStr">
        <is>
          <r>
            <t xml:space="preserve">Cod</t>
          </r>
        </is>
      </c>
      <c r="C2" s="11" t="inlineStr">
        <is>
          <r>
            <t xml:space="preserve">117976</t>
          </r>
        </is>
      </c>
      <c r="D2" s="10" t="inlineStr">
        <is>
          <r>
            <t xml:space="preserve">id_actividad</t>
          </r>
        </is>
      </c>
      <c r="E2" s="10" t="inlineStr">
        <is>
          <r>
            <t xml:space="preserve">agenda.actividad.id_actividad integer GENERATED ALWAYS AS IDENTITY</t>
          </r>
        </is>
      </c>
      <c r="F2" s="12" t="inlineStr">
        <is>
          <r>
            <t xml:space="preserve">No se mapea</t>
          </r>
        </is>
      </c>
      <c r="G2" s="10" t="inlineStr">
        <is>
          <r>
            <t xml:space="preserve">El id lo genera Postgres; no hay columna para un código externo/legado. Se conserva como cod_evea sólo de referencia.</t>
          </r>
        </is>
      </c>
    </row>
    <row r="3" spans="1:7">
      <c r="A3" s="9">
        <v>2</v>
      </c>
      <c r="B3" s="10" t="inlineStr">
        <is>
          <r>
            <t xml:space="preserve">Hrs</t>
          </r>
        </is>
      </c>
      <c r="C3" s="11" t="inlineStr">
        <is>
          <r>
            <t xml:space="preserve">20</t>
          </r>
        </is>
      </c>
      <c r="D3" s="10" t="inlineStr">
        <is>
          <r>
            <t xml:space="preserve">—</t>
          </r>
        </is>
      </c>
      <c r="E3" s="10" t="inlineStr">
        <is>
          <r>
            <t xml:space="preserve">—</t>
          </r>
        </is>
      </c>
      <c r="F3" s="12" t="inlineStr">
        <is>
          <r>
            <t xml:space="preserve">No existe en app</t>
          </r>
        </is>
      </c>
      <c r="G3" s="10" t="inlineStr">
        <is>
          <r>
            <t xml:space="preserve">La app no registra horas por actividad. Las horas viven a nivel asignatura (administrativo.asignatura.horas_taller / horas_autonomas, semanales).</t>
          </r>
        </is>
      </c>
    </row>
    <row r="4" spans="1:7">
      <c r="A4" s="9">
        <v>3</v>
      </c>
      <c r="B4" s="10" t="inlineStr">
        <is>
          <r>
            <t xml:space="preserve">TA (Trabajo Autónomo)</t>
          </r>
        </is>
      </c>
      <c r="C4" s="11" t="inlineStr">
        <is>
          <r>
            <t xml:space="preserve">Sí / No</t>
          </r>
        </is>
      </c>
      <c r="D4" s="10" t="inlineStr">
        <is>
          <r>
            <t xml:space="preserve">—</t>
          </r>
        </is>
      </c>
      <c r="E4" s="10" t="inlineStr">
        <is>
          <r>
            <t xml:space="preserve">—</t>
          </r>
        </is>
      </c>
      <c r="F4" s="12" t="inlineStr">
        <is>
          <r>
            <t xml:space="preserve">No existe en app</t>
          </r>
        </is>
      </c>
      <c r="G4" s="10" t="inlineStr">
        <is>
          <r>
            <t xml:space="preserve">En EVEA sólo las actividades con TA=Sí suman a las horas autónomas del módulo: 20+25 = 45 h «declaradas» de 104 (quedan 59). No hay flag equivalente.</t>
          </r>
        </is>
      </c>
    </row>
    <row r="5" spans="1:7">
      <c r="A5" s="9">
        <v>4</v>
      </c>
      <c r="B5" s="10" t="inlineStr">
        <is>
          <r>
            <t xml:space="preserve">Docto</t>
          </r>
        </is>
      </c>
      <c r="C5" s="10" t="inlineStr">
        <is>
          <r>
            <t xml:space="preserve">(vacío)</t>
          </r>
        </is>
      </c>
      <c r="D5" s="10" t="inlineStr">
        <is>
          <r>
            <t xml:space="preserve">uuid_archivo_enunciado</t>
          </r>
        </is>
      </c>
      <c r="E5" s="10" t="inlineStr">
        <is>
          <r>
            <t xml:space="preserve">agenda.actividad.uuid_archivo_enunciado uuid → operaciones.archivo. Se sube DESPUÉS de crear la actividad (subirEnunciado); sólo PDF o imagen (config/filetypes).</t>
          </r>
        </is>
      </c>
      <c r="F5" s="10" t="inlineStr">
        <is>
          <r>
            <t xml:space="preserve">Equivalente parcial</t>
          </r>
        </is>
      </c>
      <c r="G5" s="10" t="inlineStr">
        <is>
          <r>
            <t xml:space="preserve">Ninguna actividad del PDF tiene documento adjunto. El seeder puede dejar NULL.</t>
          </r>
        </is>
      </c>
    </row>
    <row r="6" spans="1:7">
      <c r="A6" s="9">
        <v>5</v>
      </c>
      <c r="B6" s="10" t="inlineStr">
        <is>
          <r>
            <t xml:space="preserve">Audio</t>
          </r>
        </is>
      </c>
      <c r="C6" s="10" t="inlineStr">
        <is>
          <r>
            <t xml:space="preserve">(vacío)</t>
          </r>
        </is>
      </c>
      <c r="D6" s="10" t="inlineStr">
        <is>
          <r>
            <t xml:space="preserve">—</t>
          </r>
        </is>
      </c>
      <c r="E6" s="10" t="inlineStr">
        <is>
          <r>
            <t xml:space="preserve">—</t>
          </r>
        </is>
      </c>
      <c r="F6" s="12" t="inlineStr">
        <is>
          <r>
            <t xml:space="preserve">No existe en app</t>
          </r>
        </is>
      </c>
      <c r="G6" s="10" t="inlineStr">
        <is>
          <r>
            <t xml:space="preserve">El enunciado de la app admite sólo PDF/imagen; no hay adjunto de audio. Vacío también en el PDF.</t>
          </r>
        </is>
      </c>
    </row>
    <row r="7" spans="1:7">
      <c r="A7" s="9">
        <v>6</v>
      </c>
      <c r="B7" s="10" t="inlineStr">
        <is>
          <r>
            <t xml:space="preserve">Tipo (columna)</t>
          </r>
        </is>
      </c>
      <c r="C7" s="44" t="s">
        <v>54</v>
      </c>
      <c r="D7" s="10" t="inlineStr">
        <is>
          <r>
            <t xml:space="preserve">—</t>
          </r>
        </is>
      </c>
      <c r="E7" s="10" t="inlineStr">
        <is>
          <r>
            <t xml:space="preserve">—</t>
          </r>
        </is>
      </c>
      <c r="F7" s="45" t="s">
        <v>55</v>
      </c>
      <c r="G7" s="10" t="s">
        <v>56</v>
      </c>
    </row>
    <row r="8" spans="1:7">
      <c r="A8" s="9">
        <v>7</v>
      </c>
      <c r="B8" s="10" t="inlineStr">
        <is>
          <r>
            <t xml:space="preserve">Título → nombre</t>
          </r>
        </is>
      </c>
      <c r="C8" s="11" t="inlineStr">
        <is>
          <r>
            <t xml:space="preserve">Actividad 01: Prototipo Inicial</t>
          </r>
        </is>
      </c>
      <c r="D8" s="10" t="inlineStr">
        <is>
          <r>
            <t xml:space="preserve">nombre</t>
          </r>
        </is>
      </c>
      <c r="E8" s="10" t="inlineStr">
        <is>
          <r>
            <t xml:space="preserve">text; validación required|string|max:255</t>
          </r>
        </is>
      </c>
      <c r="F8" s="10" t="inlineStr">
        <is>
          <r>
            <t xml:space="preserve">Coincide</t>
          </r>
        </is>
      </c>
      <c r="G8" s="10" t="inlineStr">
        <is>
          <r>
            <t xml:space="preserve">Se limpia el nombre separando los metadatos entre paréntesis «(Formativa, Obligatoria, Con envío de archivo)» a columnas propias.</t>
          </r>
        </is>
      </c>
    </row>
    <row r="9" spans="1:7">
      <c r="A9" s="9">
        <v>8</v>
      </c>
      <c r="B9" s="10" t="inlineStr">
        <is>
          <r>
            <t xml:space="preserve">Título → Formativa / Sumativa</t>
          </r>
        </is>
      </c>
      <c r="C9" s="11" t="inlineStr">
        <is>
          <r>
            <t xml:space="preserve">Formativa</t>
          </r>
        </is>
      </c>
      <c r="D9" s="10" t="inlineStr">
        <is>
          <r>
            <t xml:space="preserve">tipo_actividad</t>
          </r>
        </is>
      </c>
      <c r="E9" s="10" t="inlineStr">
        <is>
          <r>
            <t xml:space="preserve">ENUM agenda.en_tipo_actividad {SUMATIVA, FORMATIVA} NOT NULL</t>
          </r>
        </is>
      </c>
      <c r="F9" s="10" t="inlineStr">
        <is>
          <r>
            <t xml:space="preserve">Coincide</t>
          </r>
        </is>
      </c>
      <c r="G9" s="10" t="inlineStr">
        <is>
          <r>
            <t xml:space="preserve">Mapeo directo a mayúsculas. 3 formativas (01, 03, 05) y 3 sumativas (02, 04, 06).</t>
          </r>
        </is>
      </c>
    </row>
    <row r="10" spans="1:7">
      <c r="A10" s="9">
        <v>9</v>
      </c>
      <c r="B10" s="10" t="inlineStr">
        <is>
          <r>
            <t xml:space="preserve">Título → Obligatoria</t>
          </r>
        </is>
      </c>
      <c r="C10" s="11" t="inlineStr">
        <is>
          <r>
            <t xml:space="preserve">Obligatoria</t>
          </r>
        </is>
      </c>
      <c r="D10" s="10" t="inlineStr">
        <is>
          <r>
            <t xml:space="preserve">—</t>
          </r>
        </is>
      </c>
      <c r="E10" s="10" t="inlineStr">
        <is>
          <r>
            <t xml:space="preserve">—</t>
          </r>
        </is>
      </c>
      <c r="F10" s="12" t="inlineStr">
        <is>
          <r>
            <t xml:space="preserve">No existe en app</t>
          </r>
        </is>
      </c>
      <c r="G10" s="10" t="inlineStr">
        <is>
          <r>
            <t xml:space="preserve">No hay flag obligatoria/optativa en agenda.actividad. Las 6 actividades del PDF son obligatorias.</t>
          </r>
        </is>
      </c>
    </row>
    <row r="11" spans="1:7">
      <c r="A11" s="9">
        <v>10</v>
      </c>
      <c r="B11" s="10" t="inlineStr">
        <is>
          <r>
            <t xml:space="preserve">Título → Con envío de archivo</t>
          </r>
        </is>
      </c>
      <c r="C11" s="11" t="inlineStr">
        <is>
          <r>
            <t xml:space="preserve">Con envío de archivo</t>
          </r>
        </is>
      </c>
      <c r="D11" s="10" t="inlineStr">
        <is>
          <r>
            <t xml:space="preserve">tipo_entrega</t>
          </r>
        </is>
      </c>
      <c r="E11" s="10" t="inlineStr">
        <is>
          <r>
            <t xml:space="preserve">varchar NOT NULL; validación in:online,presencial,hibrido (UI: En línea / Presencial / Híbrido)</t>
          </r>
        </is>
      </c>
      <c r="F11" s="10" t="inlineStr">
        <is>
          <r>
            <t xml:space="preserve">Se mapea</t>
          </r>
        </is>
      </c>
      <c r="G11" s="10" t="inlineStr">
        <is>
          <r>
            <t xml:space="preserve">«Con envío de archivo» ≈ online (En línea). Las otras dos opciones de la app no aparecen en el PDF.</t>
          </r>
        </is>
      </c>
    </row>
    <row r="12" spans="1:7">
      <c r="A12" s="9">
        <v>11</v>
      </c>
      <c r="B12" s="10" t="inlineStr">
        <is>
          <r>
            <t xml:space="preserve">Fecha Venc.</t>
          </r>
        </is>
      </c>
      <c r="C12" s="11" t="inlineStr">
        <is>
          <r>
            <t xml:space="preserve">06-10-2025</t>
          </r>
        </is>
      </c>
      <c r="D12" s="10" t="inlineStr">
        <is>
          <r>
            <t xml:space="preserve">fecha_limite</t>
          </r>
        </is>
      </c>
      <c r="E12" s="10" t="inlineStr">
        <is>
          <r>
            <t xml:space="preserve">date; cast 'date'; serializa Y-m-d</t>
          </r>
        </is>
      </c>
      <c r="F12" s="10" t="inlineStr">
        <is>
          <r>
            <t xml:space="preserve">Coincide</t>
          </r>
        </is>
      </c>
      <c r="G12" s="10" t="inlineStr">
        <is>
          <r>
            <t xml:space="preserve">Convertir DD-MM-YYYY → YYYY-MM-DD. Todas caen dentro del rango desde/hasta de su unidad.</t>
          </r>
        </is>
      </c>
    </row>
    <row r="13" spans="1:7">
      <c r="A13" s="9">
        <v>12</v>
      </c>
      <c r="B13" s="10" t="inlineStr">
        <is>
          <r>
            <t xml:space="preserve">Editar</t>
          </r>
        </is>
      </c>
      <c r="C13" s="10" t="inlineStr">
        <is>
          <r>
            <t xml:space="preserve">(acción)</t>
          </r>
        </is>
      </c>
      <c r="D13" s="10" t="inlineStr">
        <is>
          <r>
            <t xml:space="preserve">—</t>
          </r>
        </is>
      </c>
      <c r="E13" s="10" t="inlineStr">
        <is>
          <r>
            <t xml:space="preserve">—</t>
          </r>
        </is>
      </c>
      <c r="F13" s="10" t="inlineStr">
        <is>
          <r>
            <t xml:space="preserve">Acción de UI</t>
          </r>
        </is>
      </c>
      <c r="G13" s="10" t="inlineStr">
        <is>
          <r>
            <t xml:space="preserve">Sin dato.</t>
          </r>
        </is>
      </c>
    </row>
    <row r="14" spans="1:7">
      <c r="A14" s="9">
        <v>13</v>
      </c>
      <c r="B14" s="10" t="inlineStr">
        <is>
          <r>
            <t xml:space="preserve">Rúbrica</t>
          </r>
        </is>
      </c>
      <c r="C14" s="10" t="s">
        <v>87</v>
      </c>
      <c r="D14" s="10" t="inlineStr">
        <is>
          <r>
            <t xml:space="preserve">rubricas()</t>
          </r>
        </is>
      </c>
      <c r="E14" s="10" t="inlineStr">
        <is>
          <r>
            <t xml:space="preserve">agenda.rubrica (0..n por actividad); se crea aparte con storeRubrica()</t>
          </r>
        </is>
      </c>
      <c r="F14" s="10" t="s">
        <v>90</v>
      </c>
      <c r="G14" s="10" t="s">
        <v>91</v>
      </c>
    </row>
    <row r="15" spans="1:7">
      <c r="A15" s="9">
        <v>14</v>
      </c>
      <c r="B15" s="10" t="inlineStr">
        <is>
          <r>
            <t xml:space="preserve">Unidad (agrupador)</t>
          </r>
        </is>
      </c>
      <c r="C15" s="11" t="inlineStr">
        <is>
          <r>
            <t xml:space="preserve">Fundamentos y Entorno de Trabajo</t>
          </r>
        </is>
      </c>
      <c r="D15" s="10" t="inlineStr">
        <is>
          <r>
            <t xml:space="preserve">id_unidad → curso.unidad.nombre</t>
          </r>
        </is>
      </c>
      <c r="E15" s="10" t="inlineStr">
        <is>
          <r>
            <t xml:space="preserve">curso.unidad (num_unidad smallint, nombre varchar, descripcion text, id_curso). FK NOT NULL en actividad.</t>
          </r>
        </is>
      </c>
      <c r="F15" s="10" t="inlineStr">
        <is>
          <r>
            <t xml:space="preserve">Coincide</t>
          </r>
        </is>
      </c>
      <c r="G15" s="10" t="inlineStr">
        <is>
          <r>
            <t xml:space="preserve">La app exige una unidad por actividad. Ver hoja Unidades.</t>
          </r>
        </is>
      </c>
    </row>
    <row r="16" spans="1:7">
      <c r="A16" s="9">
        <v>15</v>
      </c>
      <c r="B16" s="10" t="inlineStr">
        <is>
          <r>
            <t xml:space="preserve">Unidad desde / hasta</t>
          </r>
        </is>
      </c>
      <c r="C16" s="11" t="inlineStr">
        <is>
          <r>
            <t xml:space="preserve">25-08-2025 / 11-11-2025</t>
          </r>
        </is>
      </c>
      <c r="D16" s="10" t="inlineStr">
        <is>
          <r>
            <t xml:space="preserve">—</t>
          </r>
        </is>
      </c>
      <c r="E16" s="10" t="inlineStr">
        <is>
          <r>
            <t xml:space="preserve">—</t>
          </r>
        </is>
      </c>
      <c r="F16" s="12" t="inlineStr">
        <is>
          <r>
            <t xml:space="preserve">No existe en app</t>
          </r>
        </is>
      </c>
      <c r="G16" s="10" t="inlineStr">
        <is>
          <r>
            <t xml:space="preserve">curso.unidad no tiene columnas de fecha. Se conservan como referencia (unidad_desde / unidad_hasta).</t>
          </r>
        </is>
      </c>
    </row>
    <row r="17" spans="1:7">
      <c r="A17" s="9">
        <v>16</v>
      </c>
      <c r="B17" s="10" t="inlineStr">
        <is>
          <r>
            <t xml:space="preserve">Unidad «General»</t>
          </r>
        </is>
      </c>
      <c r="C17" s="11" t="inlineStr">
        <is>
          <r>
            <t xml:space="preserve">desde 01-08-2012 hasta 01-08-2012, «Unidad sin actividades definidas»</t>
          </r>
        </is>
      </c>
      <c r="D17" s="10" t="inlineStr">
        <is>
          <r>
            <t xml:space="preserve">—</t>
          </r>
        </is>
      </c>
      <c r="E17" s="10" t="inlineStr">
        <is>
          <r>
            <t xml:space="preserve">—</t>
          </r>
        </is>
      </c>
      <c r="F17" s="12" t="inlineStr">
        <is>
          <r>
            <t xml:space="preserve">Descartar</t>
          </r>
        </is>
      </c>
      <c r="G17" s="10" t="inlineStr">
        <is>
          <r>
            <t xml:space="preserve">Placeholder del EVEA sin actividades y con fecha ficticia. No se recomienda sembrarla (incluir = FALSE en hoja Unidades).</t>
          </r>
        </is>
      </c>
    </row>
    <row r="18" spans="1:7">
      <c r="A18" s="9">
        <v>17</v>
      </c>
      <c r="B18" s="10" t="inlineStr">
        <is>
          <r>
            <t xml:space="preserve">—</t>
          </r>
        </is>
      </c>
      <c r="C18" s="44" t="s">
        <v>104</v>
      </c>
      <c r="D18" s="10" t="inlineStr">
        <is>
          <r>
            <t xml:space="preserve">ponderacion</t>
          </r>
        </is>
      </c>
      <c r="E18" s="10" t="inlineStr">
        <is>
          <r>
            <t xml:space="preserve">numeric(3,0) NOT NULL; 0-100; la UI dice «Debe sumar 100 en el componente» (no está validado en código)</t>
          </r>
        </is>
      </c>
      <c r="F18" s="37" t="s">
        <v>107</v>
      </c>
      <c r="G18" s="10" t="s">
        <v>108</v>
      </c>
    </row>
    <row r="19" spans="1:7">
      <c r="A19" s="9">
        <v>18</v>
      </c>
      <c r="B19" s="10" t="inlineStr">
        <is>
          <r>
            <t xml:space="preserve">—</t>
          </r>
        </is>
      </c>
      <c r="C19" s="10" t="inlineStr">
        <is>
          <r>
            <t xml:space="preserve">—</t>
          </r>
        </is>
      </c>
      <c r="D19" s="10" t="inlineStr">
        <is>
          <r>
            <t xml:space="preserve">exigencia</t>
          </r>
        </is>
      </c>
      <c r="E19" s="10" t="inlineStr">
        <is>
          <r>
            <t xml:space="preserve">numeric(3,0) NOT NULL DEFAULT 60; 0-100</t>
          </r>
        </is>
      </c>
      <c r="F19" s="13" t="inlineStr">
        <is>
          <r>
            <t xml:space="preserve">Sólo en app</t>
          </r>
        </is>
      </c>
      <c r="G19" s="10" t="inlineStr">
        <is>
          <r>
            <t xml:space="preserve">Se usa el default de la BD/UI: 60.</t>
          </r>
        </is>
      </c>
    </row>
    <row r="20" spans="1:7">
      <c r="A20" s="9">
        <v>19</v>
      </c>
      <c r="B20" s="10" t="inlineStr">
        <is>
          <r>
            <t xml:space="preserve">—</t>
          </r>
        </is>
      </c>
      <c r="C20" s="10" t="inlineStr">
        <is>
          <r>
            <t xml:space="preserve">—</t>
          </r>
        </is>
      </c>
      <c r="D20" s="10" t="inlineStr">
        <is>
          <r>
            <t xml:space="preserve">nro_dias_adicionales_para_bloqueo</t>
          </r>
        </is>
      </c>
      <c r="E20" s="10" t="inlineStr">
        <is>
          <r>
            <t xml:space="preserve">smallint DEFAULT 0; CHECK &gt;= 0</t>
          </r>
        </is>
      </c>
      <c r="F20" s="13" t="inlineStr">
        <is>
          <r>
            <t xml:space="preserve">Sólo en app</t>
          </r>
        </is>
      </c>
      <c r="G20" s="10" t="inlineStr">
        <is>
          <r>
            <t xml:space="preserve">Se usa el default: 0 (sin holgura).</t>
          </r>
        </is>
      </c>
    </row>
    <row r="21" spans="1:7">
      <c r="A21" s="9">
        <v>20</v>
      </c>
      <c r="B21" s="10" t="inlineStr">
        <is>
          <r>
            <t xml:space="preserve">—</t>
          </r>
        </is>
      </c>
      <c r="C21" s="10" t="inlineStr">
        <is>
          <r>
            <t xml:space="preserve">—</t>
          </r>
        </is>
      </c>
      <c r="D21" s="10" t="inlineStr">
        <is>
          <r>
            <t xml:space="preserve">visible</t>
          </r>
        </is>
      </c>
      <c r="E21" s="10" t="inlineStr">
        <is>
          <r>
            <t xml:space="preserve">boolean NOT NULL DEFAULT TRUE</t>
          </r>
        </is>
      </c>
      <c r="F21" s="13" t="inlineStr">
        <is>
          <r>
            <t xml:space="preserve">Sólo en app</t>
          </r>
        </is>
      </c>
      <c r="G21" s="10" t="inlineStr">
        <is>
          <r>
            <t xml:space="preserve">Se asume TRUE: las actividades del PDF ya estaban publicadas a los estudiantes.</t>
          </r>
        </is>
      </c>
    </row>
    <row r="22" spans="1:7">
      <c r="A22" s="9">
        <v>21</v>
      </c>
      <c r="B22" s="10" t="inlineStr">
        <is>
          <r>
            <t xml:space="preserve">—</t>
          </r>
        </is>
      </c>
      <c r="C22" s="44" t="s">
        <v>119</v>
      </c>
      <c r="D22" s="10" t="inlineStr">
        <is>
          <r>
            <t xml:space="preserve">es_grupal / max_integrantes</t>
          </r>
        </is>
      </c>
      <c r="E22" s="10" t="inlineStr">
        <is>
          <r>
            <t xml:space="preserve">boolean DEFAULT FALSE / smallint DEFAULT 1 (UI exige 2-10 si es grupal)</t>
          </r>
        </is>
      </c>
      <c r="F22" s="46" t="s">
        <v>122</v>
      </c>
      <c r="G22" s="10" t="s">
        <v>123</v>
      </c>
    </row>
    <row r="23" spans="1:7">
      <c r="A23" s="9">
        <v>22</v>
      </c>
      <c r="B23" s="10" t="inlineStr">
        <is>
          <r>
            <t xml:space="preserve">—</t>
          </r>
        </is>
      </c>
      <c r="C23" s="10" t="inlineStr">
        <is>
          <r>
            <t xml:space="preserve">—</t>
          </r>
        </is>
      </c>
      <c r="D23" s="10" t="inlineStr">
        <is>
          <r>
            <t xml:space="preserve">es_plantilla</t>
          </r>
        </is>
      </c>
      <c r="E23" s="10" t="inlineStr">
        <is>
          <r>
            <t xml:space="preserve">boolean NOT NULL DEFAULT FALSE</t>
          </r>
        </is>
      </c>
      <c r="F23" s="13" t="inlineStr">
        <is>
          <r>
            <t xml:space="preserve">Sólo en app</t>
          </r>
        </is>
      </c>
      <c r="G23" s="10" t="inlineStr">
        <is>
          <r>
            <t xml:space="preserve">store() lo fija en FALSE.</t>
          </r>
        </is>
      </c>
    </row>
    <row r="24" spans="1:7">
      <c r="A24" s="9">
        <v>23</v>
      </c>
      <c r="B24" s="10" t="inlineStr">
        <is>
          <r>
            <t xml:space="preserve">—</t>
          </r>
        </is>
      </c>
      <c r="C24" s="10" t="inlineStr">
        <is>
          <r>
            <t xml:space="preserve">—</t>
          </r>
        </is>
      </c>
      <c r="D24" s="10" t="inlineStr">
        <is>
          <r>
            <t xml:space="preserve">id_componente</t>
          </r>
        </is>
      </c>
      <c r="E24" s="10" t="inlineStr">
        <is>
          <r>
            <t xml:space="preserve">smallint NOT NULL FK curso.componente (tipo vía curso.tipo_componente)</t>
          </r>
        </is>
      </c>
      <c r="F24" s="13" t="inlineStr">
        <is>
          <r>
            <t xml:space="preserve">Sólo en app</t>
          </r>
        </is>
      </c>
      <c r="G24" s="10" t="inlineStr">
        <is>
          <r>
            <t xml:space="preserve">DM095 sólo tiene horas de Taller (c=0, t=4, l=0) → todas las actividades cuelgan del componente Taller del curso. Se entrega componente_tipo = Taller para que el seeder lo resuelva.</t>
          </r>
        </is>
      </c>
    </row>
    <row r="25" spans="1:7">
      <c r="A25" s="9">
        <v>24</v>
      </c>
      <c r="B25" s="10" t="inlineStr">
        <is>
          <r>
            <t xml:space="preserve">—</t>
          </r>
        </is>
      </c>
      <c r="C25" s="10" t="inlineStr">
        <is>
          <r>
            <t xml:space="preserve">—</t>
          </r>
        </is>
      </c>
      <c r="D25" s="10" t="inlineStr">
        <is>
          <r>
            <t xml:space="preserve">id_contexto</t>
          </r>
        </is>
      </c>
      <c r="E25" s="10" t="inlineStr">
        <is>
          <r>
            <t xml:space="preserve">integer NOT NULL</t>
          </r>
        </is>
      </c>
      <c r="F25" s="13" t="inlineStr">
        <is>
          <r>
            <t xml:space="preserve">Sólo en app</t>
          </r>
        </is>
      </c>
      <c r="G25" s="10" t="inlineStr">
        <is>
          <r>
            <t xml:space="preserve">Lo llena el trigger tr_actividad_pre_insert; no va en el seeder.</t>
          </r>
        </is>
      </c>
    </row>
    <row r="26" spans="1:7">
      <c r="A26" s="9">
        <v>25</v>
      </c>
      <c r="B26" s="10" t="inlineStr">
        <is>
          <r>
            <t xml:space="preserve">Cabecera del módulo</t>
          </r>
        </is>
      </c>
      <c r="C26" s="11" t="inlineStr">
        <is>
          <r>
            <t xml:space="preserve">Taller Profesional IV (A) (DM095): 64 h de clases y 104 h autónomas = 6 créditos</t>
          </r>
        </is>
      </c>
      <c r="D26" s="10" t="inlineStr">
        <is>
          <r>
            <t xml:space="preserve">asignatura.cod_asignatura / creditos_sct / horas_taller / horas_autonomas</t>
          </r>
        </is>
      </c>
      <c r="E26" s="10" t="inlineStr">
        <is>
          <r>
            <t xml:space="preserve">administrativo.asignatura (semanales). CarreraDisenioMultimediaSeeder.php:131 → DM095: creditos 6, c=0, t=4, l=0, horas_autonomas=0</t>
          </r>
        </is>
      </c>
      <c r="F26" s="10" t="inlineStr">
        <is>
          <r>
            <t xml:space="preserve">Coincide parcial</t>
          </r>
        </is>
      </c>
      <c r="G26" s="10" t="inlineStr">
        <is>
          <r>
            <t xml:space="preserve">Créditos coinciden (6). 64 h de clases = 4 h/sem × 16 semanas ✓. horas_autonomas del seeder es 0 mientras el EVEA declara 104 (≈ 6,5 h/sem): revisar el seeder de la carrera.</t>
          </r>
        </is>
      </c>
    </row>
  </sheetData>
  <autoFilter ref="A1:G26"/>
  <printOptions gridLines="false" gridLinesSet="true"/>
  <pageMargins left="0.75" right="0.75" top="1" bottom="1" header="0.5" footer="0.5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  <pageSetUpPr fitToPage="1"/>
  </sheetPr>
  <dimension ref="A1:AC7"/>
  <sheetViews>
    <sheetView tabSelected="0" workbookViewId="0" showGridLines="true" showRowColHeaders="1">
      <pane xSplit="3" ySplit="1" topLeftCell="D2" activePane="bottomRight" state="frozen"/>
      <selection pane="topRight"/>
      <selection pane="bottomLeft"/>
      <selection pane="bottomRight" activeCell="AC7" sqref="AC7"/>
    </sheetView>
  </sheetViews>
  <sheetFormatPr defaultRowHeight="14.4" outlineLevelRow="0" outlineLevelCol="0"/>
  <cols>
    <col min="1" max="1" width="7" customWidth="true" style="0"/>
    <col min="2" max="2" width="10" customWidth="true" style="0"/>
    <col min="3" max="3" width="44" customWidth="true" style="0"/>
    <col min="4" max="4" width="15" customWidth="true" style="0"/>
    <col min="5" max="5" width="13" customWidth="true" style="0"/>
    <col min="6" max="6" width="13" customWidth="true" style="0"/>
    <col min="7" max="7" width="12" customWidth="true" style="0"/>
    <col min="8" max="8" width="10" customWidth="true" style="0"/>
    <col min="9" max="9" width="18" customWidth="true" style="0"/>
    <col min="10" max="10" width="9" customWidth="true" style="0"/>
    <col min="11" max="11" width="10" customWidth="true" style="0"/>
    <col min="12" max="12" width="12" customWidth="true" style="0"/>
    <col min="13" max="13" width="11" customWidth="true" style="0"/>
    <col min="14" max="14" width="15" customWidth="true" style="0"/>
    <col min="15" max="15" width="11" customWidth="true" style="0"/>
    <col min="16" max="16" width="36" customWidth="true" style="0"/>
    <col min="17" max="17" width="11" customWidth="true" style="0"/>
    <col min="18" max="18" width="14" customWidth="true" style="0"/>
    <col min="19" max="19" width="12" customWidth="true" style="0"/>
    <col min="20" max="20" width="22" customWidth="true" style="0"/>
    <col min="21" max="21" width="13" customWidth="true" style="0"/>
    <col min="22" max="22" width="13" customWidth="true" style="0"/>
    <col min="23" max="23" width="60" customWidth="true" style="0"/>
    <col min="24" max="24" width="15" customWidth="true" style="0"/>
    <col min="25" max="25" width="12" customWidth="true" style="0"/>
    <col min="26" max="26" width="12" customWidth="true" style="0"/>
    <col min="27" max="27" width="70" customWidth="true" style="0"/>
    <col min="28" max="28" width="18" customWidth="true" style="0"/>
    <col min="29" max="29" width="12" customWidth="true" style="0"/>
  </cols>
  <sheetData>
    <row r="1" spans="1:29">
      <c r="A1" s="8" t="inlineStr">
        <is>
          <r>
            <t xml:space="preserve">orden</t>
          </r>
        </is>
      </c>
      <c r="B1" s="14" t="inlineStr">
        <is>
          <r>
            <t xml:space="preserve">cod_evea</t>
          </r>
        </is>
      </c>
      <c r="C1" s="8" t="inlineStr">
        <is>
          <r>
            <t xml:space="preserve">nombre</t>
          </r>
        </is>
      </c>
      <c r="D1" s="8" t="inlineStr">
        <is>
          <r>
            <t xml:space="preserve">tipo_actividad</t>
          </r>
        </is>
      </c>
      <c r="E1" s="8" t="inlineStr">
        <is>
          <r>
            <t xml:space="preserve">fecha_limite</t>
          </r>
        </is>
      </c>
      <c r="F1" s="8" t="inlineStr">
        <is>
          <r>
            <t xml:space="preserve">tipo_entrega</t>
          </r>
        </is>
      </c>
      <c r="G1" s="15" t="inlineStr">
        <is>
          <r>
            <t xml:space="preserve">ponderacion</t>
          </r>
        </is>
      </c>
      <c r="H1" s="15" t="inlineStr">
        <is>
          <r>
            <t xml:space="preserve">exigencia</t>
          </r>
        </is>
      </c>
      <c r="I1" s="15" t="inlineStr">
        <is>
          <r>
            <t xml:space="preserve">nro_dias_adicionales_para_bloqueo</t>
          </r>
        </is>
      </c>
      <c r="J1" s="15" t="inlineStr">
        <is>
          <r>
            <t xml:space="preserve">visible</t>
          </r>
        </is>
      </c>
      <c r="K1" s="41" t="inlineStr">
        <is>
          <r>
            <t xml:space="preserve">es_grupal</t>
          </r>
        </is>
      </c>
      <c r="L1" s="41" t="inlineStr">
        <is>
          <r>
            <t xml:space="preserve">max_integrantes</t>
          </r>
        </is>
      </c>
      <c r="M1" s="8" t="inlineStr">
        <is>
          <r>
            <t xml:space="preserve">es_plantilla</t>
          </r>
        </is>
      </c>
      <c r="N1" s="8" t="inlineStr">
        <is>
          <r>
            <t xml:space="preserve">componente_tipo</t>
          </r>
        </is>
      </c>
      <c r="O1" s="8" t="inlineStr">
        <is>
          <r>
            <t xml:space="preserve">num_unidad</t>
          </r>
        </is>
      </c>
      <c r="P1" s="8" t="inlineStr">
        <is>
          <r>
            <t xml:space="preserve">unidad_nombre</t>
          </r>
        </is>
      </c>
      <c r="Q1" s="14" t="inlineStr">
        <is>
          <r>
            <t xml:space="preserve">horas_evea</t>
          </r>
        </is>
      </c>
      <c r="R1" s="14" t="inlineStr">
        <is>
          <r>
            <t xml:space="preserve">trabajo_autonomo_evea</t>
          </r>
        </is>
      </c>
      <c r="S1" s="14" t="inlineStr">
        <is>
          <r>
            <t xml:space="preserve">obligatoria_evea</t>
          </r>
        </is>
      </c>
      <c r="T1" s="14" t="inlineStr">
        <is>
          <r>
            <t xml:space="preserve">entrega_evea</t>
          </r>
        </is>
      </c>
      <c r="U1" s="14" t="inlineStr">
        <is>
          <r>
            <t xml:space="preserve">unidad_desde_evea</t>
          </r>
        </is>
      </c>
      <c r="V1" s="14" t="inlineStr">
        <is>
          <r>
            <t xml:space="preserve">unidad_hasta_evea</t>
          </r>
        </is>
      </c>
      <c r="W1" s="8" t="inlineStr">
        <is>
          <r>
            <t xml:space="preserve">observacion</t>
          </r>
        </is>
      </c>
      <c r="X1" s="14" t="inlineStr">
        <is>
          <r>
            <t xml:space="preserve">fecha_limite_evea_impresa</t>
          </r>
        </is>
      </c>
      <c r="Y1" s="30" t="inlineStr">
        <is>
          <r>
            <t xml:space="preserve">id_unidad_prod_A</t>
          </r>
        </is>
      </c>
      <c r="Z1" s="30" t="inlineStr">
        <is>
          <r>
            <t xml:space="preserve">id_actividad_prod_A</t>
          </r>
        </is>
      </c>
      <c r="AA1" s="15" t="inlineStr">
        <is>
          <r>
            <t xml:space="preserve">conciliar_con_prod_A</t>
          </r>
        </is>
      </c>
      <c r="AB1" s="30" t="inlineStr">
        <is>
          <r>
            <t xml:space="preserve">alias_nombre_prod</t>
          </r>
        </is>
      </c>
      <c r="AC1" s="42" t="s">
        <v>194</v>
      </c>
    </row>
    <row r="2" spans="1:29">
      <c r="A2" s="9">
        <v>1</v>
      </c>
      <c r="B2" s="16">
        <v>117976</v>
      </c>
      <c r="C2" s="11" t="inlineStr">
        <is>
          <r>
            <t xml:space="preserve">Actividad 01: Prototipo Inicial</t>
          </r>
        </is>
      </c>
      <c r="D2" s="9" t="inlineStr">
        <is>
          <r>
            <t xml:space="preserve">FORMATIVA</t>
          </r>
        </is>
      </c>
      <c r="E2" s="17" t="inlineStr">
        <is>
          <r>
            <t xml:space="preserve">2026-10-06</t>
          </r>
        </is>
      </c>
      <c r="F2" s="9" t="inlineStr">
        <is>
          <r>
            <t xml:space="preserve">online</t>
          </r>
        </is>
      </c>
      <c r="G2" s="39">
        <v>0</v>
      </c>
      <c r="H2" s="18">
        <v>60</v>
      </c>
      <c r="I2" s="18">
        <v>0</v>
      </c>
      <c r="J2" s="18" t="b">
        <v>1</v>
      </c>
      <c r="K2" s="39">
        <v>0</v>
      </c>
      <c r="L2" s="39">
        <v>1</v>
      </c>
      <c r="M2" s="9" t="b">
        <v>0</v>
      </c>
      <c r="N2" s="9" t="inlineStr">
        <is>
          <r>
            <t xml:space="preserve">Taller</t>
          </r>
        </is>
      </c>
      <c r="O2" s="9">
        <v>1</v>
      </c>
      <c r="P2" s="11" t="inlineStr">
        <is>
          <r>
            <t xml:space="preserve">Fundamentos y Entorno de Trabajo</t>
          </r>
        </is>
      </c>
      <c r="Q2" s="16">
        <v>20</v>
      </c>
      <c r="R2" s="16" t="b">
        <v>1</v>
      </c>
      <c r="S2" s="16" t="b">
        <v>1</v>
      </c>
      <c r="T2" s="19" t="inlineStr">
        <is>
          <r>
            <t xml:space="preserve">Con envío de archivo</t>
          </r>
        </is>
      </c>
      <c r="U2" s="16" t="inlineStr">
        <is>
          <r>
            <t xml:space="preserve">2026-08-25</t>
          </r>
        </is>
      </c>
      <c r="V2" s="16" t="inlineStr">
        <is>
          <r>
            <t xml:space="preserve">2026-11-11</t>
          </r>
        </is>
      </c>
      <c r="W2" s="10" t="s">
        <v>164</v>
      </c>
      <c r="X2" s="16" t="inlineStr">
        <is>
          <r>
            <t xml:space="preserve">2025-10-06</t>
          </r>
        </is>
      </c>
      <c r="Y2" s="28">
        <v>4</v>
      </c>
      <c r="Z2" s="33"/>
      <c r="AA2" s="34" t="s">
        <v>166</v>
      </c>
      <c r="AB2" s="32"/>
      <c r="AC2" s="43" t="s">
        <v>195</v>
      </c>
    </row>
    <row r="3" spans="1:29">
      <c r="A3" s="9">
        <v>2</v>
      </c>
      <c r="B3" s="16">
        <v>117975</v>
      </c>
      <c r="C3" s="11" t="inlineStr">
        <is>
          <r>
            <t xml:space="preserve">Actividad 02: Elaborar Terreno</t>
          </r>
        </is>
      </c>
      <c r="D3" s="9" t="inlineStr">
        <is>
          <r>
            <t xml:space="preserve">SUMATIVA</t>
          </r>
        </is>
      </c>
      <c r="E3" s="17" t="inlineStr">
        <is>
          <r>
            <t xml:space="preserve">2026-11-11</t>
          </r>
        </is>
      </c>
      <c r="F3" s="9" t="inlineStr">
        <is>
          <r>
            <t xml:space="preserve">online</t>
          </r>
        </is>
      </c>
      <c r="G3" s="40">
        <v>30</v>
      </c>
      <c r="H3" s="18">
        <v>60</v>
      </c>
      <c r="I3" s="18">
        <v>0</v>
      </c>
      <c r="J3" s="18" t="b">
        <v>1</v>
      </c>
      <c r="K3" s="39">
        <v>0</v>
      </c>
      <c r="L3" s="39">
        <v>1</v>
      </c>
      <c r="M3" s="9" t="b">
        <v>0</v>
      </c>
      <c r="N3" s="9" t="inlineStr">
        <is>
          <r>
            <t xml:space="preserve">Taller</t>
          </r>
        </is>
      </c>
      <c r="O3" s="9">
        <v>1</v>
      </c>
      <c r="P3" s="11" t="inlineStr">
        <is>
          <r>
            <t xml:space="preserve">Fundamentos y Entorno de Trabajo</t>
          </r>
        </is>
      </c>
      <c r="Q3" s="16">
        <v>25</v>
      </c>
      <c r="R3" s="16" t="b">
        <v>1</v>
      </c>
      <c r="S3" s="16" t="b">
        <v>1</v>
      </c>
      <c r="T3" s="19" t="inlineStr">
        <is>
          <r>
            <t xml:space="preserve">Con envío de archivo</t>
          </r>
        </is>
      </c>
      <c r="U3" s="16" t="inlineStr">
        <is>
          <r>
            <t xml:space="preserve">2026-08-25</t>
          </r>
        </is>
      </c>
      <c r="V3" s="16" t="inlineStr">
        <is>
          <r>
            <t xml:space="preserve">2026-11-11</t>
          </r>
        </is>
      </c>
      <c r="W3" s="10" t="s">
        <v>169</v>
      </c>
      <c r="X3" s="16" t="inlineStr">
        <is>
          <r>
            <t xml:space="preserve">2025-11-11</t>
          </r>
        </is>
      </c>
      <c r="Y3" s="28">
        <v>4</v>
      </c>
      <c r="Z3" s="35">
        <v>7</v>
      </c>
      <c r="AA3" s="38" t="s">
        <v>171</v>
      </c>
      <c r="AB3" s="36" t="s">
        <v>172</v>
      </c>
      <c r="AC3" s="43" t="s">
        <v>196</v>
      </c>
    </row>
    <row r="4" spans="1:29">
      <c r="A4" s="9">
        <v>3</v>
      </c>
      <c r="B4" s="16">
        <v>117971</v>
      </c>
      <c r="C4" s="11" t="inlineStr">
        <is>
          <r>
            <t xml:space="preserve">Actividad 03: Incorporar Sistema de partículas</t>
          </r>
        </is>
      </c>
      <c r="D4" s="9" t="inlineStr">
        <is>
          <r>
            <t xml:space="preserve">FORMATIVA</t>
          </r>
        </is>
      </c>
      <c r="E4" s="17" t="inlineStr">
        <is>
          <r>
            <t xml:space="preserve">2026-12-02</t>
          </r>
        </is>
      </c>
      <c r="F4" s="9" t="inlineStr">
        <is>
          <r>
            <t xml:space="preserve">online</t>
          </r>
        </is>
      </c>
      <c r="G4" s="39">
        <v>0</v>
      </c>
      <c r="H4" s="18">
        <v>60</v>
      </c>
      <c r="I4" s="18">
        <v>0</v>
      </c>
      <c r="J4" s="18" t="b">
        <v>1</v>
      </c>
      <c r="K4" s="39">
        <v>0</v>
      </c>
      <c r="L4" s="39">
        <v>1</v>
      </c>
      <c r="M4" s="9" t="b">
        <v>0</v>
      </c>
      <c r="N4" s="9" t="inlineStr">
        <is>
          <r>
            <t xml:space="preserve">Taller</t>
          </r>
        </is>
      </c>
      <c r="O4" s="9">
        <v>2</v>
      </c>
      <c r="P4" s="11" t="inlineStr">
        <is>
          <r>
            <t xml:space="preserve">Animación de Objetos y Personajes</t>
          </r>
        </is>
      </c>
      <c r="Q4" s="16">
        <v>15</v>
      </c>
      <c r="R4" s="16" t="b">
        <v>0</v>
      </c>
      <c r="S4" s="16" t="b">
        <v>1</v>
      </c>
      <c r="T4" s="19" t="inlineStr">
        <is>
          <r>
            <t xml:space="preserve">Con envío de archivo</t>
          </r>
        </is>
      </c>
      <c r="U4" s="16" t="inlineStr">
        <is>
          <r>
            <t xml:space="preserve">2026-11-12</t>
          </r>
        </is>
      </c>
      <c r="V4" s="16" t="inlineStr">
        <is>
          <r>
            <t xml:space="preserve">2026-12-09</t>
          </r>
        </is>
      </c>
      <c r="W4" s="10" t="s">
        <v>178</v>
      </c>
      <c r="X4" s="16" t="inlineStr">
        <is>
          <r>
            <t xml:space="preserve">2025-12-02</t>
          </r>
        </is>
      </c>
      <c r="Y4" s="28">
        <v>5</v>
      </c>
      <c r="Z4" s="31"/>
      <c r="AA4" s="10" t="inlineStr">
        <is>
          <r>
            <t xml:space="preserve">No existe en producción: crear.</t>
          </r>
        </is>
      </c>
      <c r="AB4" s="32"/>
      <c r="AC4" s="43" t="s">
        <v>195</v>
      </c>
    </row>
    <row r="5" spans="1:29">
      <c r="A5" s="9">
        <v>4</v>
      </c>
      <c r="B5" s="16">
        <v>117972</v>
      </c>
      <c r="C5" s="11" t="inlineStr">
        <is>
          <r>
            <t xml:space="preserve">Actividad 04: Animar Objetos</t>
          </r>
        </is>
      </c>
      <c r="D5" s="9" t="inlineStr">
        <is>
          <r>
            <t xml:space="preserve">SUMATIVA</t>
          </r>
        </is>
      </c>
      <c r="E5" s="17" t="inlineStr">
        <is>
          <r>
            <t xml:space="preserve">2026-12-09</t>
          </r>
        </is>
      </c>
      <c r="F5" s="9" t="inlineStr">
        <is>
          <r>
            <t xml:space="preserve">online</t>
          </r>
        </is>
      </c>
      <c r="G5" s="18">
        <v>40</v>
      </c>
      <c r="H5" s="18">
        <v>60</v>
      </c>
      <c r="I5" s="18">
        <v>0</v>
      </c>
      <c r="J5" s="18" t="b">
        <v>1</v>
      </c>
      <c r="K5" s="39">
        <v>0</v>
      </c>
      <c r="L5" s="39">
        <v>1</v>
      </c>
      <c r="M5" s="9" t="b">
        <v>0</v>
      </c>
      <c r="N5" s="9" t="inlineStr">
        <is>
          <r>
            <t xml:space="preserve">Taller</t>
          </r>
        </is>
      </c>
      <c r="O5" s="9">
        <v>2</v>
      </c>
      <c r="P5" s="11" t="inlineStr">
        <is>
          <r>
            <t xml:space="preserve">Animación de Objetos y Personajes</t>
          </r>
        </is>
      </c>
      <c r="Q5" s="16">
        <v>30</v>
      </c>
      <c r="R5" s="16" t="b">
        <v>0</v>
      </c>
      <c r="S5" s="16" t="b">
        <v>1</v>
      </c>
      <c r="T5" s="19" t="inlineStr">
        <is>
          <r>
            <t xml:space="preserve">Con envío de archivo</t>
          </r>
        </is>
      </c>
      <c r="U5" s="16" t="inlineStr">
        <is>
          <r>
            <t xml:space="preserve">2026-11-12</t>
          </r>
        </is>
      </c>
      <c r="V5" s="16" t="inlineStr">
        <is>
          <r>
            <t xml:space="preserve">2026-12-09</t>
          </r>
        </is>
      </c>
      <c r="W5" s="10" t="s">
        <v>182</v>
      </c>
      <c r="X5" s="16" t="inlineStr">
        <is>
          <r>
            <t xml:space="preserve">2025-12-09</t>
          </r>
        </is>
      </c>
      <c r="Y5" s="28">
        <v>5</v>
      </c>
      <c r="Z5" s="31"/>
      <c r="AA5" s="10" t="inlineStr">
        <is>
          <r>
            <t xml:space="preserve">No existe en producción: crear.</t>
          </r>
        </is>
      </c>
      <c r="AB5" s="32"/>
      <c r="AC5" s="43" t="s">
        <v>196</v>
      </c>
    </row>
    <row r="6" spans="1:29">
      <c r="A6" s="9">
        <v>5</v>
      </c>
      <c r="B6" s="16">
        <v>117973</v>
      </c>
      <c r="C6" s="11" t="inlineStr">
        <is>
          <r>
            <t xml:space="preserve">Actividad 05: Incorporar UI</t>
          </r>
        </is>
      </c>
      <c r="D6" s="9" t="inlineStr">
        <is>
          <r>
            <t xml:space="preserve">FORMATIVA</t>
          </r>
        </is>
      </c>
      <c r="E6" s="17" t="inlineStr">
        <is>
          <r>
            <t xml:space="preserve">2026-12-13</t>
          </r>
        </is>
      </c>
      <c r="F6" s="9" t="inlineStr">
        <is>
          <r>
            <t xml:space="preserve">online</t>
          </r>
        </is>
      </c>
      <c r="G6" s="39">
        <v>0</v>
      </c>
      <c r="H6" s="18">
        <v>60</v>
      </c>
      <c r="I6" s="18">
        <v>0</v>
      </c>
      <c r="J6" s="18" t="b">
        <v>1</v>
      </c>
      <c r="K6" s="39">
        <v>0</v>
      </c>
      <c r="L6" s="39">
        <v>1</v>
      </c>
      <c r="M6" s="9" t="b">
        <v>0</v>
      </c>
      <c r="N6" s="9" t="inlineStr">
        <is>
          <r>
            <t xml:space="preserve">Taller</t>
          </r>
        </is>
      </c>
      <c r="O6" s="9">
        <v>3</v>
      </c>
      <c r="P6" s="11" t="inlineStr">
        <is>
          <r>
            <t xml:space="preserve">Interactividad e Interfaz de Usuario</t>
          </r>
        </is>
      </c>
      <c r="Q6" s="16">
        <v>14</v>
      </c>
      <c r="R6" s="16" t="b">
        <v>0</v>
      </c>
      <c r="S6" s="16" t="b">
        <v>1</v>
      </c>
      <c r="T6" s="19" t="inlineStr">
        <is>
          <r>
            <t xml:space="preserve">Con envío de archivo</t>
          </r>
        </is>
      </c>
      <c r="U6" s="16" t="inlineStr">
        <is>
          <r>
            <t xml:space="preserve">2026-12-10</t>
          </r>
        </is>
      </c>
      <c r="V6" s="16" t="inlineStr">
        <is>
          <r>
            <t xml:space="preserve">2026-12-20</t>
          </r>
        </is>
      </c>
      <c r="W6" s="10" t="s">
        <v>178</v>
      </c>
      <c r="X6" s="16" t="inlineStr">
        <is>
          <r>
            <t xml:space="preserve">2025-12-13</t>
          </r>
        </is>
      </c>
      <c r="Y6" s="28">
        <v>6</v>
      </c>
      <c r="Z6" s="31"/>
      <c r="AA6" s="10" t="inlineStr">
        <is>
          <r>
            <t xml:space="preserve">No existe en producción: crear.</t>
          </r>
        </is>
      </c>
      <c r="AB6" s="32"/>
      <c r="AC6" s="43" t="s">
        <v>195</v>
      </c>
    </row>
    <row r="7" spans="1:29">
      <c r="A7" s="9">
        <v>6</v>
      </c>
      <c r="B7" s="16">
        <v>117974</v>
      </c>
      <c r="C7" s="11" t="inlineStr">
        <is>
          <r>
            <t xml:space="preserve">Actividad 06: Incorporar Puntaje</t>
          </r>
        </is>
      </c>
      <c r="D7" s="9" t="inlineStr">
        <is>
          <r>
            <t xml:space="preserve">SUMATIVA</t>
          </r>
        </is>
      </c>
      <c r="E7" s="17" t="inlineStr">
        <is>
          <r>
            <t xml:space="preserve">2026-12-19</t>
          </r>
        </is>
      </c>
      <c r="F7" s="9" t="inlineStr">
        <is>
          <r>
            <t xml:space="preserve">online</t>
          </r>
        </is>
      </c>
      <c r="G7" s="18">
        <v>30</v>
      </c>
      <c r="H7" s="18">
        <v>60</v>
      </c>
      <c r="I7" s="18">
        <v>0</v>
      </c>
      <c r="J7" s="18" t="b">
        <v>1</v>
      </c>
      <c r="K7" s="39">
        <v>0</v>
      </c>
      <c r="L7" s="39">
        <v>1</v>
      </c>
      <c r="M7" s="9" t="b">
        <v>0</v>
      </c>
      <c r="N7" s="9" t="inlineStr">
        <is>
          <r>
            <t xml:space="preserve">Taller</t>
          </r>
        </is>
      </c>
      <c r="O7" s="9">
        <v>3</v>
      </c>
      <c r="P7" s="11" t="inlineStr">
        <is>
          <r>
            <t xml:space="preserve">Interactividad e Interfaz de Usuario</t>
          </r>
        </is>
      </c>
      <c r="Q7" s="16">
        <v>25</v>
      </c>
      <c r="R7" s="16" t="b">
        <v>0</v>
      </c>
      <c r="S7" s="16" t="b">
        <v>1</v>
      </c>
      <c r="T7" s="19" t="inlineStr">
        <is>
          <r>
            <t xml:space="preserve">Con envío de archivo</t>
          </r>
        </is>
      </c>
      <c r="U7" s="16" t="inlineStr">
        <is>
          <r>
            <t xml:space="preserve">2026-12-10</t>
          </r>
        </is>
      </c>
      <c r="V7" s="16" t="inlineStr">
        <is>
          <r>
            <t xml:space="preserve">2026-12-20</t>
          </r>
        </is>
      </c>
      <c r="W7" s="10" t="s">
        <v>192</v>
      </c>
      <c r="X7" s="16" t="inlineStr">
        <is>
          <r>
            <t xml:space="preserve">2025-12-19</t>
          </r>
        </is>
      </c>
      <c r="Y7" s="28">
        <v>6</v>
      </c>
      <c r="Z7" s="31"/>
      <c r="AA7" s="10" t="inlineStr">
        <is>
          <r>
            <t xml:space="preserve">No existe en producción: crear.</t>
          </r>
        </is>
      </c>
      <c r="AB7" s="32"/>
      <c r="AC7" s="43" t="s">
        <v>196</v>
      </c>
    </row>
  </sheetData>
  <autoFilter ref="A1:W7"/>
  <printOptions gridLines="false" gridLinesSet="true"/>
  <pageMargins left="0.75" right="0.75" top="1" bottom="1" header="0.5" footer="0.5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legacyDrawing r:id="rId_comments_vml1"/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5"/>
  <sheetViews>
    <sheetView tabSelected="0" workbookViewId="0" showGridLines="true" showRowColHeaders="1">
      <pane ySplit="1" topLeftCell="A2" activePane="bottomLeft" state="frozen"/>
      <selection pane="bottomLeft" activeCell="A1" sqref="A1"/>
    </sheetView>
  </sheetViews>
  <sheetFormatPr defaultRowHeight="14.4" outlineLevelRow="0" outlineLevelCol="0"/>
  <cols>
    <col min="1" max="1" width="11" customWidth="true" style="0"/>
    <col min="2" max="2" width="40" customWidth="true" style="0"/>
    <col min="3" max="3" width="40" customWidth="true" style="0"/>
    <col min="4" max="4" width="13" customWidth="true" style="0"/>
    <col min="5" max="5" width="13" customWidth="true" style="0"/>
    <col min="6" max="6" width="9" customWidth="true" style="0"/>
    <col min="7" max="7" width="70" customWidth="true" style="0"/>
  </cols>
  <sheetData>
    <row r="1" spans="1:7">
      <c r="A1" s="8" t="inlineStr">
        <is>
          <r>
            <t xml:space="preserve">num_unidad</t>
          </r>
        </is>
      </c>
      <c r="B1" s="8" t="inlineStr">
        <is>
          <r>
            <t xml:space="preserve">nombre</t>
          </r>
        </is>
      </c>
      <c r="C1" s="15" t="inlineStr">
        <is>
          <r>
            <t xml:space="preserve">descripcion</t>
          </r>
        </is>
      </c>
      <c r="D1" s="14" t="inlineStr">
        <is>
          <r>
            <t xml:space="preserve">desde_evea</t>
          </r>
        </is>
      </c>
      <c r="E1" s="14" t="inlineStr">
        <is>
          <r>
            <t xml:space="preserve">hasta_evea</t>
          </r>
        </is>
      </c>
      <c r="F1" s="8" t="inlineStr">
        <is>
          <r>
            <t xml:space="preserve">incluir</t>
          </r>
        </is>
      </c>
      <c r="G1" s="8" t="inlineStr">
        <is>
          <r>
            <t xml:space="preserve">observacion</t>
          </r>
        </is>
      </c>
    </row>
    <row r="2" spans="1:7">
      <c r="A2" s="20"/>
      <c r="B2" s="19" t="inlineStr">
        <is>
          <r>
            <t xml:space="preserve">General</t>
          </r>
        </is>
      </c>
      <c r="C2" s="12"/>
      <c r="D2" s="16" t="inlineStr">
        <is>
          <r>
            <t xml:space="preserve">2012-08-01</t>
          </r>
        </is>
      </c>
      <c r="E2" s="16" t="inlineStr">
        <is>
          <r>
            <t xml:space="preserve">2012-08-01</t>
          </r>
        </is>
      </c>
      <c r="F2" s="20" t="b">
        <v>0</v>
      </c>
      <c r="G2" s="12" t="inlineStr">
        <is>
          <r>
            <t xml:space="preserve">Placeholder del EVEA: «Unidad sin actividades definidas», fecha ficticia. No sembrar.</t>
          </r>
        </is>
      </c>
    </row>
    <row r="3" spans="1:7">
      <c r="A3" s="9">
        <v>1</v>
      </c>
      <c r="B3" s="11" t="inlineStr">
        <is>
          <r>
            <t xml:space="preserve">Fundamentos y Entorno de Trabajo</t>
          </r>
        </is>
      </c>
      <c r="C3" s="13"/>
      <c r="D3" s="16" t="inlineStr">
        <is>
          <r>
            <t xml:space="preserve">2025-08-25</t>
          </r>
        </is>
      </c>
      <c r="E3" s="16" t="inlineStr">
        <is>
          <r>
            <t xml:space="preserve">2025-11-11</t>
          </r>
        </is>
      </c>
      <c r="F3" s="9" t="b">
        <v>1</v>
      </c>
      <c r="G3" s="10" t="inlineStr">
        <is>
          <r>
            <t xml:space="preserve">Actividades 01 y 02.</t>
          </r>
        </is>
      </c>
    </row>
    <row r="4" spans="1:7">
      <c r="A4" s="9">
        <v>2</v>
      </c>
      <c r="B4" s="11" t="inlineStr">
        <is>
          <r>
            <t xml:space="preserve">Animación de Objetos y Personajes</t>
          </r>
        </is>
      </c>
      <c r="C4" s="13"/>
      <c r="D4" s="16" t="inlineStr">
        <is>
          <r>
            <t xml:space="preserve">2025-11-12</t>
          </r>
        </is>
      </c>
      <c r="E4" s="16" t="inlineStr">
        <is>
          <r>
            <t xml:space="preserve">2025-12-09</t>
          </r>
        </is>
      </c>
      <c r="F4" s="9" t="b">
        <v>1</v>
      </c>
      <c r="G4" s="10" t="inlineStr">
        <is>
          <r>
            <t xml:space="preserve">Actividades 03 y 04.</t>
          </r>
        </is>
      </c>
    </row>
    <row r="5" spans="1:7">
      <c r="A5" s="9">
        <v>3</v>
      </c>
      <c r="B5" s="11" t="inlineStr">
        <is>
          <r>
            <t xml:space="preserve">Interactividad e Interfaz de Usuario</t>
          </r>
        </is>
      </c>
      <c r="C5" s="13"/>
      <c r="D5" s="16" t="inlineStr">
        <is>
          <r>
            <t xml:space="preserve">2025-12-10</t>
          </r>
        </is>
      </c>
      <c r="E5" s="16" t="inlineStr">
        <is>
          <r>
            <t xml:space="preserve">2025-12-20</t>
          </r>
        </is>
      </c>
      <c r="F5" s="9" t="b">
        <v>1</v>
      </c>
      <c r="G5" s="10" t="inlineStr">
        <is>
          <r>
            <t xml:space="preserve">Actividades 05 y 06.</t>
          </r>
        </is>
      </c>
    </row>
  </sheetData>
  <printOptions gridLines="false" gridLinesSet="true"/>
  <pageMargins left="0.75" right="0.75" top="1" bottom="1" header="0.5" footer="0.5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legacyDrawing r:id="rId_comments_vml1"/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39"/>
  <sheetViews>
    <sheetView tabSelected="1" workbookViewId="0" showGridLines="true" showRowColHeaders="1">
      <selection activeCell="B39" sqref="B39"/>
    </sheetView>
  </sheetViews>
  <sheetFormatPr defaultRowHeight="14.4" outlineLevelRow="0" outlineLevelCol="0"/>
  <cols>
    <col min="1" max="1" width="38" customWidth="true" style="0"/>
    <col min="2" max="2" width="30" customWidth="true" style="0"/>
    <col min="3" max="3" width="80" customWidth="true" style="0"/>
  </cols>
  <sheetData>
    <row r="1" spans="1:3">
      <c r="A1" s="1" t="inlineStr">
        <is>
          <r>
            <t xml:space="preserve">Cabecera del módulo (PDF) y verificaciones</t>
          </r>
        </is>
      </c>
    </row>
    <row r="3" spans="1:3">
      <c r="A3" s="8" t="inlineStr">
        <is>
          <r>
            <t xml:space="preserve">Dato</t>
          </r>
        </is>
      </c>
      <c r="B3" s="8" t="inlineStr">
        <is>
          <r>
            <t xml:space="preserve">Valor</t>
          </r>
        </is>
      </c>
      <c r="C3" s="8" t="inlineStr">
        <is>
          <r>
            <t xml:space="preserve">Origen / observación</t>
          </r>
        </is>
      </c>
    </row>
    <row r="4" spans="1:3">
      <c r="A4" s="21" t="inlineStr">
        <is>
          <r>
            <t xml:space="preserve">cod_asignatura</t>
          </r>
        </is>
      </c>
      <c r="B4" s="17" t="inlineStr">
        <is>
          <r>
            <t xml:space="preserve">DM095</t>
          </r>
        </is>
      </c>
      <c r="C4" s="10" t="inlineStr">
        <is>
          <r>
            <t xml:space="preserve">PDF. Existe en CarreraDisenioMultimediaSeeder.php:131 y database-model/seeds/02-asignaturas.sql.</t>
          </r>
        </is>
      </c>
    </row>
    <row r="5" spans="1:3">
      <c r="A5" s="21" t="inlineStr">
        <is>
          <r>
            <t xml:space="preserve">asignatura_nombre</t>
          </r>
        </is>
      </c>
      <c r="B5" s="17" t="inlineStr">
        <is>
          <r>
            <t xml:space="preserve">Taller Profesional IV</t>
          </r>
        </is>
      </c>
      <c r="C5" s="10" t="inlineStr">
        <is>
          <r>
            <t xml:space="preserve">PDF.</t>
          </r>
        </is>
      </c>
    </row>
    <row r="6" spans="1:3">
      <c r="A6" s="21" t="inlineStr">
        <is>
          <r>
            <t xml:space="preserve">seccion</t>
          </r>
        </is>
      </c>
      <c r="B6" s="17" t="inlineStr">
        <is>
          <r>
            <t xml:space="preserve">A</t>
          </r>
        </is>
      </c>
      <c r="C6" s="10" t="inlineStr">
        <is>
          <r>
            <t xml:space="preserve">PDF: «Taller Profesional IV (A)». Debe existir un curso.curso para DM095 sección A con componente Taller y las 3 unidades.</t>
          </r>
        </is>
      </c>
    </row>
    <row r="7" spans="1:3">
      <c r="A7" s="21" t="inlineStr">
        <is>
          <r>
            <t xml:space="preserve">horas_clases_evea</t>
          </r>
        </is>
      </c>
      <c r="B7" s="17">
        <v>64</v>
      </c>
      <c r="C7" s="10" t="inlineStr">
        <is>
          <r>
            <t xml:space="preserve">PDF. Equivale a horas_taller 4/sem × 16 semanas.</t>
          </r>
        </is>
      </c>
    </row>
    <row r="8" spans="1:3">
      <c r="A8" s="21" t="inlineStr">
        <is>
          <r>
            <t xml:space="preserve">horas_autonomas_evea</t>
          </r>
        </is>
      </c>
      <c r="B8" s="17">
        <v>104</v>
      </c>
      <c r="C8" s="10" t="inlineStr">
        <is>
          <r>
            <t xml:space="preserve">PDF. El seeder de la carrera tiene horas_autonomas = 0 para DM095 → discrepancia a revisar.</t>
          </r>
        </is>
      </c>
    </row>
    <row r="9" spans="1:3">
      <c r="A9" s="21" t="inlineStr">
        <is>
          <r>
            <t xml:space="preserve">creditos_evea</t>
          </r>
        </is>
      </c>
      <c r="B9" s="17">
        <v>6</v>
      </c>
      <c r="C9" s="10" t="inlineStr">
        <is>
          <r>
            <t xml:space="preserve">PDF. Coincide con creditos_sct = 6 del seeder.</t>
          </r>
        </is>
      </c>
    </row>
    <row r="10" spans="1:3">
      <c r="A10" s="21" t="inlineStr">
        <is>
          <r>
            <t xml:space="preserve">fecha_impresion_pdf</t>
          </r>
        </is>
      </c>
      <c r="B10" s="17" t="inlineStr">
        <is>
          <r>
            <t xml:space="preserve">2026-09-21</t>
          </r>
        </is>
      </c>
      <c r="C10" s="10" t="inlineStr">
        <is>
          <r>
            <t xml:space="preserve">PDF (21/9/26 16:46).</t>
          </r>
        </is>
      </c>
    </row>
    <row r="11" spans="1:3">
      <c r="A11" s="22"/>
      <c r="B11" s="23"/>
      <c r="C11" s="3"/>
    </row>
    <row r="12" spans="1:3">
      <c r="A12" s="21" t="inlineStr">
        <is>
          <r>
            <t xml:space="preserve">Verificaciones (fórmulas)</t>
          </r>
        </is>
      </c>
      <c r="B12" s="24"/>
      <c r="C12" s="10"/>
    </row>
    <row r="13" spans="1:3">
      <c r="A13" s="21" t="inlineStr">
        <is>
          <r>
            <t xml:space="preserve">total_horas_actividades</t>
          </r>
        </is>
      </c>
      <c r="B13" s="25" t="str">
        <f>SUM(Actividades!Q2:Q7)</f>
        <v>0</v>
      </c>
      <c r="C13" s="10" t="inlineStr">
        <is>
          <r>
            <t xml:space="preserve">Suma de horas_evea de las 6 actividades (esperado 129).</t>
          </r>
        </is>
      </c>
    </row>
    <row r="14" spans="1:3">
      <c r="A14" s="21" t="inlineStr">
        <is>
          <r>
            <t xml:space="preserve">horas_TA_declaradas</t>
          </r>
        </is>
      </c>
      <c r="B14" s="25" t="str">
        <f>SUMPRODUCT((Actividades!R2:R7=TRUE)*Actividades!Q2:Q7)</f>
        <v>0</v>
      </c>
      <c r="C14" s="10" t="inlineStr">
        <is>
          <r>
            <t xml:space="preserve">Sólo TA=Sí. El PDF dice «45 hrs. declaradas».</t>
          </r>
        </is>
      </c>
    </row>
    <row r="15" spans="1:3">
      <c r="A15" s="21" t="inlineStr">
        <is>
          <r>
            <t xml:space="preserve">horas_TA_pendientes</t>
          </r>
        </is>
      </c>
      <c r="B15" s="26" t="str">
        <f>B8-B14</f>
        <v>0</v>
      </c>
      <c r="C15" s="10" t="inlineStr">
        <is>
          <r>
            <t xml:space="preserve">horas_autonomas_evea − horas_TA_declaradas. El PDF dice «le quedan 59 horas».</t>
          </r>
        </is>
      </c>
    </row>
    <row r="16" spans="1:3">
      <c r="A16" s="21" t="inlineStr">
        <is>
          <r>
            <t xml:space="preserve">suma_ponderacion_sumativas</t>
          </r>
        </is>
      </c>
      <c r="B16" s="25" t="str">
        <f>SUMIF(Actividades!D2:D7,"SUMATIVA",Actividades!G2:G7)</f>
        <v>0</v>
      </c>
      <c r="C16" s="10" t="inlineStr">
        <is>
          <r>
            <t xml:space="preserve">Debe dar 100 (regla de la UI: suma 100 en el componente).</t>
          </r>
        </is>
      </c>
    </row>
    <row r="17" spans="1:3">
      <c r="A17" s="21" t="inlineStr">
        <is>
          <r>
            <t xml:space="preserve">suma_ponderacion_formativas</t>
          </r>
        </is>
      </c>
      <c r="B17" s="25" t="str">
        <f>SUMIF(Actividades!D2:D7,"FORMATIVA",Actividades!G2:G7)</f>
        <v>0</v>
      </c>
      <c r="C17" s="10" t="inlineStr">
        <is>
          <r>
            <t xml:space="preserve">Propuesta: 0.</t>
          </r>
        </is>
      </c>
    </row>
    <row r="18" spans="1:3">
      <c r="A18" s="21" t="inlineStr">
        <is>
          <r>
            <t xml:space="preserve">n_actividades</t>
          </r>
        </is>
      </c>
      <c r="B18" s="25" t="str">
        <f>COUNTA(Actividades!C2:C7)</f>
        <v>0</v>
      </c>
      <c r="C18" s="10" t="inlineStr">
        <is>
          <r>
            <t xml:space="preserve">Esperado 6.</t>
          </r>
        </is>
      </c>
    </row>
    <row r="19" spans="1:3">
      <c r="A19" s="21" t="inlineStr">
        <is>
          <r>
            <t xml:space="preserve">n_unidades_a_sembrar</t>
          </r>
        </is>
      </c>
      <c r="B19" s="25" t="str">
        <f>COUNTIF(Unidades!F2:F5,TRUE)</f>
        <v>0</v>
      </c>
      <c r="C19" s="10" t="inlineStr">
        <is>
          <r>
            <t xml:space="preserve">Esperado 3 (se descarta «General»).</t>
          </r>
        </is>
      </c>
    </row>
    <row r="21" spans="1:3">
      <c r="A21" s="2" t="inlineStr">
        <is>
          <r>
            <t xml:space="preserve">Producción (2026-09-21)</t>
          </r>
        </is>
      </c>
    </row>
    <row r="22" spans="1:3">
      <c r="A22" s="27" t="inlineStr">
        <is>
          <r>
            <t xml:space="preserve">id_curso A / B</t>
          </r>
        </is>
      </c>
      <c r="B22" s="28" t="inlineStr">
        <is>
          <r>
            <t xml:space="preserve">2 / 5</t>
          </r>
        </is>
      </c>
      <c r="C22" s="29" t="inlineStr">
        <is>
          <r>
            <t xml:space="preserve">consulta_cursos_alumnos.tinker.php en utamed_1ra_fase.</t>
          </r>
        </is>
      </c>
    </row>
    <row r="23" spans="1:3">
      <c r="A23" s="27" t="inlineStr">
        <is>
          <r>
            <t xml:space="preserve">cod_curso A / B</t>
          </r>
        </is>
      </c>
      <c r="B23" s="28" t="inlineStr">
        <is>
          <r>
            <t xml:space="preserve">11000 / 111100</t>
          </r>
        </is>
      </c>
      <c r="C23" s="29" t="inlineStr">
        <is>
          <r>
            <t xml:space="preserve">Tipeados por el admin en el wizard.</t>
          </r>
        </is>
      </c>
    </row>
    <row r="24" spans="1:3">
      <c r="A24" s="27" t="inlineStr">
        <is>
          <r>
            <t xml:space="preserve">período</t>
          </r>
        </is>
      </c>
      <c r="B24" s="28" t="inlineStr">
        <is>
          <r>
            <t xml:space="preserve">2026-2 (07-08-2026 → 07-02-2027)</t>
          </r>
        </is>
      </c>
      <c r="C24" s="29" t="inlineStr">
        <is>
          <r>
            <t xml:space="preserve">El EVEA imprimía 2025 por error; las fechas reales son 2026 (columna fecha_limite).</t>
          </r>
        </is>
      </c>
    </row>
    <row r="25" spans="1:3">
      <c r="A25" s="27" t="inlineStr">
        <is>
          <r>
            <t xml:space="preserve">componentes A</t>
          </r>
        </is>
      </c>
      <c r="B25" s="28" t="inlineStr">
        <is>
          <r>
            <t xml:space="preserve">Laboratorio#3, Taller#11</t>
          </r>
        </is>
      </c>
      <c r="C25" s="29" t="inlineStr">
        <is>
          <r>
            <t xml:space="preserve">Ambos con csandovy.</t>
          </r>
        </is>
      </c>
    </row>
    <row r="26" spans="1:3">
      <c r="A26" s="27" t="inlineStr">
        <is>
          <r>
            <t xml:space="preserve">componentes B</t>
          </r>
        </is>
      </c>
      <c r="B26" s="28" t="inlineStr">
        <is>
          <r>
            <t xml:space="preserve">Laboratorio#8, Taller#12</t>
          </r>
        </is>
      </c>
      <c r="C26" s="29" t="inlineStr">
        <is>
          <r>
            <t xml:space="preserve">Taller#12 SIN docente_componente.</t>
          </r>
        </is>
      </c>
    </row>
    <row r="27" spans="1:3">
      <c r="A27" s="27" t="inlineStr">
        <is>
          <r>
            <t xml:space="preserve">contenido previo A</t>
          </r>
        </is>
      </c>
      <c r="B27" s="28" t="inlineStr">
        <is>
          <r>
            <t xml:space="preserve">3 unidades, 1 actividad, 1 programa</t>
          </r>
        </is>
      </c>
      <c r="C27" s="29" t="inlineStr">
        <is>
          <r>
            <t xml:space="preserve">El seeder debe fusionar. Detalle: consulta_dm095_detalle.tinker.php.</t>
          </r>
        </is>
      </c>
    </row>
    <row r="28" spans="1:3">
      <c r="A28" s="27" t="inlineStr">
        <is>
          <r>
            <t xml:space="preserve">contenido previo B</t>
          </r>
        </is>
      </c>
      <c r="B28" s="28" t="inlineStr">
        <is>
          <r>
            <t xml:space="preserve">0 / 0 / 0</t>
          </r>
        </is>
      </c>
      <c r="C28" s="29"/>
    </row>
    <row r="29" spans="1:3">
      <c r="A29" s="27" t="inlineStr">
        <is>
          <r>
            <t xml:space="preserve">inscritos A / B</t>
          </r>
        </is>
      </c>
      <c r="B29" s="28" t="inlineStr">
        <is>
          <r>
            <t xml:space="preserve">19 / 19</t>
          </r>
        </is>
      </c>
      <c r="C29" s="29" t="inlineStr">
        <is>
          <r>
            <t xml:space="preserve">Ya inscritos por Intranet; estudiantes.xlsx no hace falta para inscribir.</t>
          </r>
        </is>
      </c>
    </row>
    <row r="31" spans="1:3">
      <c r="A31" s="2" t="inlineStr">
        <is>
          <r>
            <t xml:space="preserve">Producción: detalle DM095 A (2026-09-21)</t>
          </r>
        </is>
      </c>
    </row>
    <row r="32" spans="1:3">
      <c r="A32" s="27" t="inlineStr">
        <is>
          <r>
            <t xml:space="preserve">unidades A</t>
          </r>
        </is>
      </c>
      <c r="B32" s="28" t="inlineStr">
        <is>
          <r>
            <t xml:space="preserve">id 4/5/6 = num 1/2/3</t>
          </r>
        </is>
      </c>
      <c r="C32" s="29" t="inlineStr">
        <is>
          <r>
            <t xml:space="preserve">Nombres «Unidad N : &lt;título PDF&gt;». Reutilizar, no renombrar.</t>
          </r>
        </is>
      </c>
    </row>
    <row r="33" spans="1:3">
      <c r="A33" s="27" t="inlineStr">
        <is>
          <r>
            <t xml:space="preserve">actividad existente A</t>
          </r>
        </is>
      </c>
      <c r="B33" s="28" t="s">
        <v>277</v>
      </c>
      <c r="C33" s="29" t="s">
        <v>278</v>
      </c>
    </row>
    <row r="34" spans="1:3">
      <c r="A34" s="27" t="inlineStr">
        <is>
          <r>
            <t xml:space="preserve">programa A</t>
          </r>
        </is>
      </c>
      <c r="B34" s="28" t="inlineStr">
        <is>
          <r>
            <t xml:space="preserve">id 2, COMPLETO, APROBADO</t>
          </r>
        </is>
      </c>
      <c r="C34" s="29" t="inlineStr">
        <is>
          <r>
            <t xml:space="preserve">No crear otro. Bibliografía pendiente (tabla + JSON VIII).</t>
          </r>
        </is>
      </c>
    </row>
    <row r="35" spans="1:3">
      <c r="A35" s="27" t="inlineStr">
        <is>
          <r>
            <t xml:space="preserve">componente destino</t>
          </r>
        </is>
      </c>
      <c r="B35" s="28" t="inlineStr">
        <is>
          <r>
            <t xml:space="preserve">Taller (decidido)</t>
          </r>
        </is>
      </c>
      <c r="C35" s="29" t="inlineStr">
        <is>
          <r>
            <t xml:space="preserve">Laboratorio es un bug y se borrará. Antes: mover Tarea 1 a Taller#11; limpiar inscripcion_componente (19 en #3, 19 en #8), docente_componente, contextos 19/36 y roles.</t>
          </r>
        </is>
      </c>
    </row>
    <row r="37" spans="1:3">
      <c r="A37" s="47" t="s">
        <v>285</v>
      </c>
      <c r="B37" s="48" t="s">
        <v>286</v>
      </c>
      <c r="C37" t="s">
        <v>287</v>
      </c>
    </row>
    <row r="38" spans="1:3">
      <c r="A38" s="47" t="s">
        <v>288</v>
      </c>
      <c r="B38" s="48" t="s">
        <v>289</v>
      </c>
      <c r="C38" t="s">
        <v>290</v>
      </c>
    </row>
    <row r="39" spans="1:3">
      <c r="A39" s="47" t="s">
        <v>291</v>
      </c>
      <c r="B39" s="49" t="s">
        <v>292</v>
      </c>
      <c r="C39" t="s">
        <v>293</v>
      </c>
    </row>
  </sheetData>
  <printOptions gridLines="false" gridLinesSet="true"/>
  <pageMargins left="0.75" right="0.75" top="1" bottom="1" header="0.5" footer="0.5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Leyenda</vt:lpstr>
      <vt:lpstr>Comparacion</vt:lpstr>
      <vt:lpstr>Actividades</vt:lpstr>
      <vt:lpstr>Unidades</vt:lpstr>
      <vt:lpstr>Curso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/>
  <dcterms:created xsi:type="dcterms:W3CDTF">2026-09-21T20:13:10+00:00</dcterms:created>
  <dcterms:modified xsi:type="dcterms:W3CDTF">2026-09-21T21:56:05+00:00</dcterms:modified>
  <dc:title/>
  <dc:description/>
  <dc:subject/>
  <cp:keywords/>
  <cp:category/>
</cp:coreProperties>
</file>